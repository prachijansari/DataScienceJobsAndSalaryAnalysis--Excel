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9f7fdfee3c73b18/Desktop/Projects/Salary/"/>
    </mc:Choice>
  </mc:AlternateContent>
  <xr:revisionPtr revIDLastSave="1484" documentId="8_{0014335E-87B6-41E1-BAE1-C36B0B200F9D}" xr6:coauthVersionLast="47" xr6:coauthVersionMax="47" xr10:uidLastSave="{C5114F63-34FF-449D-A149-791BA98FFB67}"/>
  <bookViews>
    <workbookView xWindow="-120" yWindow="-120" windowWidth="29040" windowHeight="16440" activeTab="5" xr2:uid="{00000000-000D-0000-FFFF-FFFF00000000}"/>
  </bookViews>
  <sheets>
    <sheet name="ds_salaries" sheetId="1" r:id="rId1"/>
    <sheet name="References" sheetId="4" r:id="rId2"/>
    <sheet name="CountryName" sheetId="10" r:id="rId3"/>
    <sheet name="WorkingSheet" sheetId="2" r:id="rId4"/>
    <sheet name="PivotTables" sheetId="14" r:id="rId5"/>
    <sheet name="Dashboard" sheetId="16" r:id="rId6"/>
  </sheets>
  <definedNames>
    <definedName name="_xlnm._FilterDatabase" localSheetId="3" hidden="1">WorkingSheet!$A$1:$L$608</definedName>
    <definedName name="_xlchart.v1.0" hidden="1">References!$D$1:$D$50</definedName>
    <definedName name="_xlchart.v1.1" hidden="1">References!$E$1:$E$50</definedName>
  </definedNames>
  <calcPr calcId="191029"/>
  <pivotCaches>
    <pivotCache cacheId="38" r:id="rId7"/>
    <pivotCache cacheId="21" r:id="rId8"/>
    <pivotCache cacheId="37" r:id="rId9"/>
    <pivotCache cacheId="4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2" i="2"/>
  <c r="F13" i="4" a="1"/>
  <c r="F13" i="4" s="1"/>
  <c r="F18" i="4" a="1"/>
  <c r="F18" i="4" s="1"/>
  <c r="F23" i="4" a="1"/>
  <c r="F23" i="4" s="1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3" i="2"/>
  <c r="K4" i="2"/>
  <c r="K5" i="2"/>
  <c r="K6" i="2"/>
  <c r="K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46CDE7-BA74-4901-97F8-C6B209FE979D}" keepAlive="1" name="Query - List of Countries with Capital and Continent" description="Connection to the 'List of Countries with Capital and Continent' query in the workbook." type="5" refreshedVersion="0" background="1" saveData="1">
    <dbPr connection="Provider=Microsoft.Mashup.OleDb.1;Data Source=$Workbook$;Location=&quot;List of Countries with Capital and Continent&quot;;Extended Properties=&quot;&quot;" command="SELECT * FROM [List of Countries with Capital and Continen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<sst xmlns="http://schemas.openxmlformats.org/spreadsheetml/2006/main" count="9337" uniqueCount="887">
  <si>
    <t>work_year</t>
  </si>
  <si>
    <t>experience_level</t>
  </si>
  <si>
    <t>employment_type</t>
  </si>
  <si>
    <t>job_title</t>
  </si>
  <si>
    <t>salary</t>
  </si>
  <si>
    <t>salary_currency</t>
  </si>
  <si>
    <t>salary_in_usd</t>
  </si>
  <si>
    <t>employee_residence</t>
  </si>
  <si>
    <t>remote_ratio</t>
  </si>
  <si>
    <t>company_location</t>
  </si>
  <si>
    <t>company_size</t>
  </si>
  <si>
    <t>MI</t>
  </si>
  <si>
    <t>FT</t>
  </si>
  <si>
    <t>Data Scientist</t>
  </si>
  <si>
    <t>EUR</t>
  </si>
  <si>
    <t>DE</t>
  </si>
  <si>
    <t>L</t>
  </si>
  <si>
    <t>SE</t>
  </si>
  <si>
    <t>Machine Learning Scientist</t>
  </si>
  <si>
    <t>USD</t>
  </si>
  <si>
    <t>JP</t>
  </si>
  <si>
    <t>S</t>
  </si>
  <si>
    <t>Big Data Engineer</t>
  </si>
  <si>
    <t>GBP</t>
  </si>
  <si>
    <t>GB</t>
  </si>
  <si>
    <t>M</t>
  </si>
  <si>
    <t>Product Data Analyst</t>
  </si>
  <si>
    <t>HN</t>
  </si>
  <si>
    <t>Machine Learning Engineer</t>
  </si>
  <si>
    <t>US</t>
  </si>
  <si>
    <t>EN</t>
  </si>
  <si>
    <t>Data Analyst</t>
  </si>
  <si>
    <t>Lead Data Scientist</t>
  </si>
  <si>
    <t>HUF</t>
  </si>
  <si>
    <t>HU</t>
  </si>
  <si>
    <t>Business Data Analyst</t>
  </si>
  <si>
    <t>Lead Data Engineer</t>
  </si>
  <si>
    <t>NZ</t>
  </si>
  <si>
    <t>FR</t>
  </si>
  <si>
    <t>INR</t>
  </si>
  <si>
    <t>IN</t>
  </si>
  <si>
    <t>Lead Data Analyst</t>
  </si>
  <si>
    <t>PK</t>
  </si>
  <si>
    <t>Data Engineer</t>
  </si>
  <si>
    <t>JPY</t>
  </si>
  <si>
    <t>PL</t>
  </si>
  <si>
    <t>Data Science Consultant</t>
  </si>
  <si>
    <t>PT</t>
  </si>
  <si>
    <t>CNY</t>
  </si>
  <si>
    <t>CN</t>
  </si>
  <si>
    <t>GR</t>
  </si>
  <si>
    <t>BI Data Analyst</t>
  </si>
  <si>
    <t>AE</t>
  </si>
  <si>
    <t>EX</t>
  </si>
  <si>
    <t>Director of Data Science</t>
  </si>
  <si>
    <t>Research Scientist</t>
  </si>
  <si>
    <t>NL</t>
  </si>
  <si>
    <t>MXN</t>
  </si>
  <si>
    <t>MX</t>
  </si>
  <si>
    <t>CT</t>
  </si>
  <si>
    <t>Machine Learning Manager</t>
  </si>
  <si>
    <t>CAD</t>
  </si>
  <si>
    <t>CA</t>
  </si>
  <si>
    <t>Data Engineering Manager</t>
  </si>
  <si>
    <t>AT</t>
  </si>
  <si>
    <t>NG</t>
  </si>
  <si>
    <t>PH</t>
  </si>
  <si>
    <t>ES</t>
  </si>
  <si>
    <t>Machine Learning Infrastructure Engineer</t>
  </si>
  <si>
    <t>ML Engineer</t>
  </si>
  <si>
    <t>AI Scientist</t>
  </si>
  <si>
    <t>DKK</t>
  </si>
  <si>
    <t>DK</t>
  </si>
  <si>
    <t>FL</t>
  </si>
  <si>
    <t>Computer Vision Engineer</t>
  </si>
  <si>
    <t>RU</t>
  </si>
  <si>
    <t>Principal Data Scientist</t>
  </si>
  <si>
    <t>IT</t>
  </si>
  <si>
    <t>HR</t>
  </si>
  <si>
    <t>Data Science Manager</t>
  </si>
  <si>
    <t>LU</t>
  </si>
  <si>
    <t>Head of Data</t>
  </si>
  <si>
    <t>3D Computer Vision Researcher</t>
  </si>
  <si>
    <t>Data Analytics Engineer</t>
  </si>
  <si>
    <t>Applied Data Scientist</t>
  </si>
  <si>
    <t>PLN</t>
  </si>
  <si>
    <t>BG</t>
  </si>
  <si>
    <t>Marketing Data Analyst</t>
  </si>
  <si>
    <t>Cloud Data Engineer</t>
  </si>
  <si>
    <t>SGD</t>
  </si>
  <si>
    <t>SG</t>
  </si>
  <si>
    <t>BR</t>
  </si>
  <si>
    <t>Financial Data Analyst</t>
  </si>
  <si>
    <t>Computer Vision Software Engineer</t>
  </si>
  <si>
    <t>Director of Data Engineering</t>
  </si>
  <si>
    <t>Data Science Engineer</t>
  </si>
  <si>
    <t>RO</t>
  </si>
  <si>
    <t>Principal Data Engineer</t>
  </si>
  <si>
    <t>Machine Learning Developer</t>
  </si>
  <si>
    <t>IQ</t>
  </si>
  <si>
    <t>Applied Machine Learning Scientist</t>
  </si>
  <si>
    <t>VN</t>
  </si>
  <si>
    <t>BE</t>
  </si>
  <si>
    <t>UA</t>
  </si>
  <si>
    <t>IL</t>
  </si>
  <si>
    <t>Data Analytics Manager</t>
  </si>
  <si>
    <t>Head of Data Science</t>
  </si>
  <si>
    <t>MT</t>
  </si>
  <si>
    <t>Data Specialist</t>
  </si>
  <si>
    <t>Data Architect</t>
  </si>
  <si>
    <t>CLP</t>
  </si>
  <si>
    <t>CL</t>
  </si>
  <si>
    <t>Finance Data Analyst</t>
  </si>
  <si>
    <t>IR</t>
  </si>
  <si>
    <t>CO</t>
  </si>
  <si>
    <t>MD</t>
  </si>
  <si>
    <t>KE</t>
  </si>
  <si>
    <t>BRL</t>
  </si>
  <si>
    <t>SI</t>
  </si>
  <si>
    <t>HK</t>
  </si>
  <si>
    <t>CH</t>
  </si>
  <si>
    <t>AS</t>
  </si>
  <si>
    <t>TRY</t>
  </si>
  <si>
    <t>TR</t>
  </si>
  <si>
    <t>Principal Data Analyst</t>
  </si>
  <si>
    <t>Big Data Architect</t>
  </si>
  <si>
    <t>RS</t>
  </si>
  <si>
    <t>PR</t>
  </si>
  <si>
    <t>JE</t>
  </si>
  <si>
    <t>Staff Data Scientist</t>
  </si>
  <si>
    <t>CZ</t>
  </si>
  <si>
    <t>Analytics Engineer</t>
  </si>
  <si>
    <t>ETL Developer</t>
  </si>
  <si>
    <t>Head of Machine Learning</t>
  </si>
  <si>
    <t>AR</t>
  </si>
  <si>
    <t>NLP Engineer</t>
  </si>
  <si>
    <t>Lead Machine Learning Engineer</t>
  </si>
  <si>
    <t>DZ</t>
  </si>
  <si>
    <t>TN</t>
  </si>
  <si>
    <t>MY</t>
  </si>
  <si>
    <t>EE</t>
  </si>
  <si>
    <t>AUD</t>
  </si>
  <si>
    <t>AU</t>
  </si>
  <si>
    <t>BO</t>
  </si>
  <si>
    <t>IE</t>
  </si>
  <si>
    <t>CHF</t>
  </si>
  <si>
    <t>Data Analytics Lead</t>
  </si>
  <si>
    <t>Full Time</t>
  </si>
  <si>
    <t>Contract</t>
  </si>
  <si>
    <t>Freelance</t>
  </si>
  <si>
    <t>Part Time</t>
  </si>
  <si>
    <t>Large</t>
  </si>
  <si>
    <t>Small</t>
  </si>
  <si>
    <t>Medium</t>
  </si>
  <si>
    <t>United Arab Emirates</t>
  </si>
  <si>
    <t>Anguilla</t>
  </si>
  <si>
    <t>Netherlands Antilles</t>
  </si>
  <si>
    <t>Antarctica</t>
  </si>
  <si>
    <t>American Samoa</t>
  </si>
  <si>
    <t>Aruba</t>
  </si>
  <si>
    <t>Barbados</t>
  </si>
  <si>
    <t>Burkina Faso</t>
  </si>
  <si>
    <t>Bermuda</t>
  </si>
  <si>
    <t>Brunei Darussalam</t>
  </si>
  <si>
    <t>Belize</t>
  </si>
  <si>
    <t>Canada</t>
  </si>
  <si>
    <t>Cocos (Keeling) Islands</t>
  </si>
  <si>
    <t>Central African Republic</t>
  </si>
  <si>
    <t>Cook Islands</t>
  </si>
  <si>
    <t>Christmas Island</t>
  </si>
  <si>
    <t>Czech Republic</t>
  </si>
  <si>
    <t>Dominican Republic</t>
  </si>
  <si>
    <t>Falkland Islands (Malvinas)</t>
  </si>
  <si>
    <t>Faroe Islands</t>
  </si>
  <si>
    <t>Grenada</t>
  </si>
  <si>
    <t>Georgia</t>
  </si>
  <si>
    <t>French Guiana</t>
  </si>
  <si>
    <t>Gibraltar</t>
  </si>
  <si>
    <t>Greenland</t>
  </si>
  <si>
    <t>Guadeloupe</t>
  </si>
  <si>
    <t>Guam</t>
  </si>
  <si>
    <t>Ireland</t>
  </si>
  <si>
    <t>Isle of Man</t>
  </si>
  <si>
    <t>Jamaica</t>
  </si>
  <si>
    <t>Japan</t>
  </si>
  <si>
    <t>Cayman Islands</t>
  </si>
  <si>
    <t>Saint Lucia</t>
  </si>
  <si>
    <t>Libyan Arab Jamahiriya</t>
  </si>
  <si>
    <t>Mongolia</t>
  </si>
  <si>
    <t>Martinique</t>
  </si>
  <si>
    <t>Montserrat</t>
  </si>
  <si>
    <t>Malaysia</t>
  </si>
  <si>
    <t>New Caledonia</t>
  </si>
  <si>
    <t>Norfolk Island</t>
  </si>
  <si>
    <t>Niue</t>
  </si>
  <si>
    <t>New Zealand</t>
  </si>
  <si>
    <t>French Polynesia</t>
  </si>
  <si>
    <t>Philippines, Republic of the</t>
  </si>
  <si>
    <t>Reunion</t>
  </si>
  <si>
    <t>Romania</t>
  </si>
  <si>
    <t>Russian Federation</t>
  </si>
  <si>
    <t>Solomon Islands</t>
  </si>
  <si>
    <t>Slovakia (Slovak Republic)</t>
  </si>
  <si>
    <t>Syrian Arab Republic</t>
  </si>
  <si>
    <t>French Southern Territories</t>
  </si>
  <si>
    <t>Tokelau</t>
  </si>
  <si>
    <t>Turkmenistan</t>
  </si>
  <si>
    <t>Tuvalu</t>
  </si>
  <si>
    <t>Taiwan</t>
  </si>
  <si>
    <t>Ukraine</t>
  </si>
  <si>
    <t>United States Minor Outlying Islands</t>
  </si>
  <si>
    <t>Yemen</t>
  </si>
  <si>
    <t>Mayotte</t>
  </si>
  <si>
    <t>Experience Level</t>
  </si>
  <si>
    <t>Entry Level</t>
  </si>
  <si>
    <t>Senior Level</t>
  </si>
  <si>
    <t>Mid level</t>
  </si>
  <si>
    <t>Expert Level</t>
  </si>
  <si>
    <t>Experience</t>
  </si>
  <si>
    <t>Year</t>
  </si>
  <si>
    <t>Column Labels</t>
  </si>
  <si>
    <t>Continent_Name</t>
  </si>
  <si>
    <t>Continent_Code</t>
  </si>
  <si>
    <t>Country_Name</t>
  </si>
  <si>
    <t>Two_Letter_Country_Code</t>
  </si>
  <si>
    <t>Three_Letter_Country_Code</t>
  </si>
  <si>
    <t>Country_Number</t>
  </si>
  <si>
    <t>Asia</t>
  </si>
  <si>
    <t>Afghanistan, Islamic Republic of</t>
  </si>
  <si>
    <t>AF</t>
  </si>
  <si>
    <t>AFG</t>
  </si>
  <si>
    <t>Europe</t>
  </si>
  <si>
    <t>EU</t>
  </si>
  <si>
    <t>Albania, Republic of</t>
  </si>
  <si>
    <t>AL</t>
  </si>
  <si>
    <t>ALB</t>
  </si>
  <si>
    <t>AN</t>
  </si>
  <si>
    <t>Antarctica (the territory South of 60 deg S)</t>
  </si>
  <si>
    <t>AQ</t>
  </si>
  <si>
    <t>ATA</t>
  </si>
  <si>
    <t>Africa</t>
  </si>
  <si>
    <t>Algeria, People's Democratic Republic of</t>
  </si>
  <si>
    <t>DZA</t>
  </si>
  <si>
    <t>Oceania</t>
  </si>
  <si>
    <t>OC</t>
  </si>
  <si>
    <t>ASM</t>
  </si>
  <si>
    <t>Andorra, Principality of</t>
  </si>
  <si>
    <t>AD</t>
  </si>
  <si>
    <t>AND</t>
  </si>
  <si>
    <t>Angola, Republic of</t>
  </si>
  <si>
    <t>AO</t>
  </si>
  <si>
    <t>AGO</t>
  </si>
  <si>
    <t>North America</t>
  </si>
  <si>
    <t>NA</t>
  </si>
  <si>
    <t>Antigua and Barbuda</t>
  </si>
  <si>
    <t>AG</t>
  </si>
  <si>
    <t>ATG</t>
  </si>
  <si>
    <t>Azerbaijan, Republic of</t>
  </si>
  <si>
    <t>AZ</t>
  </si>
  <si>
    <t>AZE</t>
  </si>
  <si>
    <t>South America</t>
  </si>
  <si>
    <t>SA</t>
  </si>
  <si>
    <t>Argentina, Argentine Republic</t>
  </si>
  <si>
    <t>ARG</t>
  </si>
  <si>
    <t>Australia, Commonwealth of</t>
  </si>
  <si>
    <t>AUS</t>
  </si>
  <si>
    <t>Austria, Republic of</t>
  </si>
  <si>
    <t>AUT</t>
  </si>
  <si>
    <t>Bahamas, Commonwealth of the</t>
  </si>
  <si>
    <t>BS</t>
  </si>
  <si>
    <t>BHS</t>
  </si>
  <si>
    <t>Bahrain, Kingdom of</t>
  </si>
  <si>
    <t>BH</t>
  </si>
  <si>
    <t>BHR</t>
  </si>
  <si>
    <t>Bangladesh, People's Republic of</t>
  </si>
  <si>
    <t>BD</t>
  </si>
  <si>
    <t>BGD</t>
  </si>
  <si>
    <t>Armenia, Republic of</t>
  </si>
  <si>
    <t>AM</t>
  </si>
  <si>
    <t>ARM</t>
  </si>
  <si>
    <t>BB</t>
  </si>
  <si>
    <t>BRB</t>
  </si>
  <si>
    <t>Belgium, Kingdom of</t>
  </si>
  <si>
    <t>BEL</t>
  </si>
  <si>
    <t>BM</t>
  </si>
  <si>
    <t>BMU</t>
  </si>
  <si>
    <t>Bhutan, Kingdom of</t>
  </si>
  <si>
    <t>BT</t>
  </si>
  <si>
    <t>BTN</t>
  </si>
  <si>
    <t>Bolivia, Republic of</t>
  </si>
  <si>
    <t>BOL</t>
  </si>
  <si>
    <t>Bosnia and Herzegovina</t>
  </si>
  <si>
    <t>BA</t>
  </si>
  <si>
    <t>BIH</t>
  </si>
  <si>
    <t>Botswana, Republic of</t>
  </si>
  <si>
    <t>BW</t>
  </si>
  <si>
    <t>BWA</t>
  </si>
  <si>
    <t>Bouvet Island (Bouvetoya)</t>
  </si>
  <si>
    <t>BV</t>
  </si>
  <si>
    <t>BVT</t>
  </si>
  <si>
    <t>Brazil, Federative Republic of</t>
  </si>
  <si>
    <t>BRA</t>
  </si>
  <si>
    <t>BZ</t>
  </si>
  <si>
    <t>BLZ</t>
  </si>
  <si>
    <t>British Indian Ocean Territory (Chagos Archipelago)</t>
  </si>
  <si>
    <t>IO</t>
  </si>
  <si>
    <t>IOT</t>
  </si>
  <si>
    <t>SB</t>
  </si>
  <si>
    <t>SLB</t>
  </si>
  <si>
    <t>British Virgin Islands</t>
  </si>
  <si>
    <t>VG</t>
  </si>
  <si>
    <t>VGB</t>
  </si>
  <si>
    <t>BN</t>
  </si>
  <si>
    <t>BRN</t>
  </si>
  <si>
    <t>Bulgaria, Republic of</t>
  </si>
  <si>
    <t>BGR</t>
  </si>
  <si>
    <t>Myanmar, Union of</t>
  </si>
  <si>
    <t>MM</t>
  </si>
  <si>
    <t>MMR</t>
  </si>
  <si>
    <t>Burundi, Republic of</t>
  </si>
  <si>
    <t>BI</t>
  </si>
  <si>
    <t>BDI</t>
  </si>
  <si>
    <t>Belarus, Republic of</t>
  </si>
  <si>
    <t>BY</t>
  </si>
  <si>
    <t>BLR</t>
  </si>
  <si>
    <t>Cambodia, Kingdom of</t>
  </si>
  <si>
    <t>KH</t>
  </si>
  <si>
    <t>KHM</t>
  </si>
  <si>
    <t>Cameroon, Republic of</t>
  </si>
  <si>
    <t>CM</t>
  </si>
  <si>
    <t>CMR</t>
  </si>
  <si>
    <t>CAN</t>
  </si>
  <si>
    <t>Cape Verde, Republic of</t>
  </si>
  <si>
    <t>CV</t>
  </si>
  <si>
    <t>CPV</t>
  </si>
  <si>
    <t>KY</t>
  </si>
  <si>
    <t>CYM</t>
  </si>
  <si>
    <t>CF</t>
  </si>
  <si>
    <t>CAF</t>
  </si>
  <si>
    <t>Sri Lanka, Democratic Socialist Republic of</t>
  </si>
  <si>
    <t>LK</t>
  </si>
  <si>
    <t>LKA</t>
  </si>
  <si>
    <t>Chad, Republic of</t>
  </si>
  <si>
    <t>TD</t>
  </si>
  <si>
    <t>TCD</t>
  </si>
  <si>
    <t>Chile, Republic of</t>
  </si>
  <si>
    <t>CHL</t>
  </si>
  <si>
    <t>China, People's Republic of</t>
  </si>
  <si>
    <t>CHN</t>
  </si>
  <si>
    <t>TW</t>
  </si>
  <si>
    <t>TWN</t>
  </si>
  <si>
    <t>CX</t>
  </si>
  <si>
    <t>CXR</t>
  </si>
  <si>
    <t>CC</t>
  </si>
  <si>
    <t>CCK</t>
  </si>
  <si>
    <t>Colombia, Republic of</t>
  </si>
  <si>
    <t>COL</t>
  </si>
  <si>
    <t>Comoros, Union of the</t>
  </si>
  <si>
    <t>KM</t>
  </si>
  <si>
    <t>COM</t>
  </si>
  <si>
    <t>YT</t>
  </si>
  <si>
    <t>MYT</t>
  </si>
  <si>
    <t>Congo, Republic of the</t>
  </si>
  <si>
    <t>CG</t>
  </si>
  <si>
    <t>COG</t>
  </si>
  <si>
    <t>Congo, Democratic Republic of the</t>
  </si>
  <si>
    <t>CD</t>
  </si>
  <si>
    <t>COD</t>
  </si>
  <si>
    <t>CK</t>
  </si>
  <si>
    <t>COK</t>
  </si>
  <si>
    <t>Costa Rica, Republic of</t>
  </si>
  <si>
    <t>CR</t>
  </si>
  <si>
    <t>CRI</t>
  </si>
  <si>
    <t>Croatia, Republic of</t>
  </si>
  <si>
    <t>HRV</t>
  </si>
  <si>
    <t>Cuba, Republic of</t>
  </si>
  <si>
    <t>CU</t>
  </si>
  <si>
    <t>CUB</t>
  </si>
  <si>
    <t>Cyprus, Republic of</t>
  </si>
  <si>
    <t>CY</t>
  </si>
  <si>
    <t>CYP</t>
  </si>
  <si>
    <t>CZE</t>
  </si>
  <si>
    <t>Benin, Republic of</t>
  </si>
  <si>
    <t>BJ</t>
  </si>
  <si>
    <t>BEN</t>
  </si>
  <si>
    <t>Denmark, Kingdom of</t>
  </si>
  <si>
    <t>DNK</t>
  </si>
  <si>
    <t>Dominica, Commonwealth of</t>
  </si>
  <si>
    <t>DM</t>
  </si>
  <si>
    <t>DMA</t>
  </si>
  <si>
    <t>DO</t>
  </si>
  <si>
    <t>DOM</t>
  </si>
  <si>
    <t>Ecuador, Republic of</t>
  </si>
  <si>
    <t>EC</t>
  </si>
  <si>
    <t>ECU</t>
  </si>
  <si>
    <t>El Salvador, Republic of</t>
  </si>
  <si>
    <t>SV</t>
  </si>
  <si>
    <t>SLV</t>
  </si>
  <si>
    <t>Equatorial Guinea, Republic of</t>
  </si>
  <si>
    <t>GQ</t>
  </si>
  <si>
    <t>GNQ</t>
  </si>
  <si>
    <t>Ethiopia, Federal Democratic Republic of</t>
  </si>
  <si>
    <t>ET</t>
  </si>
  <si>
    <t>ETH</t>
  </si>
  <si>
    <t>Eritrea, State of</t>
  </si>
  <si>
    <t>ER</t>
  </si>
  <si>
    <t>ERI</t>
  </si>
  <si>
    <t>Estonia, Republic of</t>
  </si>
  <si>
    <t>EST</t>
  </si>
  <si>
    <t>FO</t>
  </si>
  <si>
    <t>FRO</t>
  </si>
  <si>
    <t>FK</t>
  </si>
  <si>
    <t>FLK</t>
  </si>
  <si>
    <t>South Georgia and the South Sandwich Islands</t>
  </si>
  <si>
    <t>GS</t>
  </si>
  <si>
    <t>SGS</t>
  </si>
  <si>
    <t>Fiji, Republic of the Fiji Islands</t>
  </si>
  <si>
    <t>FJ</t>
  </si>
  <si>
    <t>FJI</t>
  </si>
  <si>
    <t>Finland, Republic of</t>
  </si>
  <si>
    <t>FI</t>
  </si>
  <si>
    <t>FIN</t>
  </si>
  <si>
    <t>Ã…land Islands</t>
  </si>
  <si>
    <t>AX</t>
  </si>
  <si>
    <t>ALA</t>
  </si>
  <si>
    <t>France, French Republic</t>
  </si>
  <si>
    <t>FRA</t>
  </si>
  <si>
    <t>GF</t>
  </si>
  <si>
    <t>GUF</t>
  </si>
  <si>
    <t>PF</t>
  </si>
  <si>
    <t>PYF</t>
  </si>
  <si>
    <t>TF</t>
  </si>
  <si>
    <t>ATF</t>
  </si>
  <si>
    <t>Djibouti, Republic of</t>
  </si>
  <si>
    <t>DJ</t>
  </si>
  <si>
    <t>DJI</t>
  </si>
  <si>
    <t>Gabon, Gabonese Republic</t>
  </si>
  <si>
    <t>GA</t>
  </si>
  <si>
    <t>GAB</t>
  </si>
  <si>
    <t>GE</t>
  </si>
  <si>
    <t>GEO</t>
  </si>
  <si>
    <t>Gambia, Republic of the</t>
  </si>
  <si>
    <t>GM</t>
  </si>
  <si>
    <t>GMB</t>
  </si>
  <si>
    <t>Palestinian Territory, Occupied</t>
  </si>
  <si>
    <t>PS</t>
  </si>
  <si>
    <t>PSE</t>
  </si>
  <si>
    <t>Germany, Federal Republic of</t>
  </si>
  <si>
    <t>DEU</t>
  </si>
  <si>
    <t>Ghana, Republic of</t>
  </si>
  <si>
    <t>GH</t>
  </si>
  <si>
    <t>GHA</t>
  </si>
  <si>
    <t>GI</t>
  </si>
  <si>
    <t>GIB</t>
  </si>
  <si>
    <t>Kiribati, Republic of</t>
  </si>
  <si>
    <t>KI</t>
  </si>
  <si>
    <t>KIR</t>
  </si>
  <si>
    <t>Greece, Hellenic Republic</t>
  </si>
  <si>
    <t>GRC</t>
  </si>
  <si>
    <t>GL</t>
  </si>
  <si>
    <t>GRL</t>
  </si>
  <si>
    <t>GD</t>
  </si>
  <si>
    <t>GRD</t>
  </si>
  <si>
    <t>GP</t>
  </si>
  <si>
    <t>GLP</t>
  </si>
  <si>
    <t>GU</t>
  </si>
  <si>
    <t>GUM</t>
  </si>
  <si>
    <t>Guatemala, Republic of</t>
  </si>
  <si>
    <t>GT</t>
  </si>
  <si>
    <t>GTM</t>
  </si>
  <si>
    <t>Guinea, Republic of</t>
  </si>
  <si>
    <t>GN</t>
  </si>
  <si>
    <t>GIN</t>
  </si>
  <si>
    <t>Guyana, Co-operative Republic of</t>
  </si>
  <si>
    <t>GY</t>
  </si>
  <si>
    <t>GUY</t>
  </si>
  <si>
    <t>Haiti, Republic of</t>
  </si>
  <si>
    <t>HT</t>
  </si>
  <si>
    <t>HTI</t>
  </si>
  <si>
    <t>Heard Island and McDonald Islands</t>
  </si>
  <si>
    <t>HM</t>
  </si>
  <si>
    <t>HMD</t>
  </si>
  <si>
    <t>Holy See (Vatican City State)</t>
  </si>
  <si>
    <t>VA</t>
  </si>
  <si>
    <t>VAT</t>
  </si>
  <si>
    <t>Honduras, Republic of</t>
  </si>
  <si>
    <t>HND</t>
  </si>
  <si>
    <t>Hong Kong, Special Administrative Region of China</t>
  </si>
  <si>
    <t>HKG</t>
  </si>
  <si>
    <t>Hungary, Republic of</t>
  </si>
  <si>
    <t>HUN</t>
  </si>
  <si>
    <t>Iceland, Republic of</t>
  </si>
  <si>
    <t>IS</t>
  </si>
  <si>
    <t>ISL</t>
  </si>
  <si>
    <t>India, Republic of</t>
  </si>
  <si>
    <t>IND</t>
  </si>
  <si>
    <t>Indonesia, Republic of</t>
  </si>
  <si>
    <t>ID</t>
  </si>
  <si>
    <t>IDN</t>
  </si>
  <si>
    <t>Iran, Islamic Republic of</t>
  </si>
  <si>
    <t>IRN</t>
  </si>
  <si>
    <t>Iraq, Republic of</t>
  </si>
  <si>
    <t>IRQ</t>
  </si>
  <si>
    <t>IRL</t>
  </si>
  <si>
    <t>Israel, State of</t>
  </si>
  <si>
    <t>ISR</t>
  </si>
  <si>
    <t>Italy, Italian Republic</t>
  </si>
  <si>
    <t>ITA</t>
  </si>
  <si>
    <t>Cote d'Ivoire, Republic of</t>
  </si>
  <si>
    <t>CI</t>
  </si>
  <si>
    <t>CIV</t>
  </si>
  <si>
    <t>JM</t>
  </si>
  <si>
    <t>JAM</t>
  </si>
  <si>
    <t>JPN</t>
  </si>
  <si>
    <t>Kazakhstan, Republic of</t>
  </si>
  <si>
    <t>KZ</t>
  </si>
  <si>
    <t>KAZ</t>
  </si>
  <si>
    <t>Jordan, Hashemite Kingdom of</t>
  </si>
  <si>
    <t>JO</t>
  </si>
  <si>
    <t>JOR</t>
  </si>
  <si>
    <t>Kenya, Republic of</t>
  </si>
  <si>
    <t>KEN</t>
  </si>
  <si>
    <t>Korea, Democratic People's Republic of</t>
  </si>
  <si>
    <t>KP</t>
  </si>
  <si>
    <t>PRK</t>
  </si>
  <si>
    <t>Korea, Republic of</t>
  </si>
  <si>
    <t>KR</t>
  </si>
  <si>
    <t>KOR</t>
  </si>
  <si>
    <t>Kuwait, State of</t>
  </si>
  <si>
    <t>KW</t>
  </si>
  <si>
    <t>KWT</t>
  </si>
  <si>
    <t>Kyrgyz Republic</t>
  </si>
  <si>
    <t>KG</t>
  </si>
  <si>
    <t>KGZ</t>
  </si>
  <si>
    <t>Lao People's Democratic Republic</t>
  </si>
  <si>
    <t>LA</t>
  </si>
  <si>
    <t>LAO</t>
  </si>
  <si>
    <t>Lebanon, Lebanese Republic</t>
  </si>
  <si>
    <t>LB</t>
  </si>
  <si>
    <t>LBN</t>
  </si>
  <si>
    <t>Lesotho, Kingdom of</t>
  </si>
  <si>
    <t>LS</t>
  </si>
  <si>
    <t>LSO</t>
  </si>
  <si>
    <t>Latvia, Republic of</t>
  </si>
  <si>
    <t>LV</t>
  </si>
  <si>
    <t>LVA</t>
  </si>
  <si>
    <t>Liberia, Republic of</t>
  </si>
  <si>
    <t>LR</t>
  </si>
  <si>
    <t>LBR</t>
  </si>
  <si>
    <t>LY</t>
  </si>
  <si>
    <t>LBY</t>
  </si>
  <si>
    <t>Liechtenstein, Principality of</t>
  </si>
  <si>
    <t>LI</t>
  </si>
  <si>
    <t>LIE</t>
  </si>
  <si>
    <t>Lithuania, Republic of</t>
  </si>
  <si>
    <t>LT</t>
  </si>
  <si>
    <t>LTU</t>
  </si>
  <si>
    <t>Luxembourg, Grand Duchy of</t>
  </si>
  <si>
    <t>LUX</t>
  </si>
  <si>
    <t>Macao, Special Administrative Region of China</t>
  </si>
  <si>
    <t>MO</t>
  </si>
  <si>
    <t>MAC</t>
  </si>
  <si>
    <t>Madagascar, Republic of</t>
  </si>
  <si>
    <t>MG</t>
  </si>
  <si>
    <t>MDG</t>
  </si>
  <si>
    <t>Malawi, Republic of</t>
  </si>
  <si>
    <t>MW</t>
  </si>
  <si>
    <t>MWI</t>
  </si>
  <si>
    <t>MYS</t>
  </si>
  <si>
    <t>Maldives, Republic of</t>
  </si>
  <si>
    <t>MV</t>
  </si>
  <si>
    <t>MDV</t>
  </si>
  <si>
    <t>Mali, Republic of</t>
  </si>
  <si>
    <t>ML</t>
  </si>
  <si>
    <t>MLI</t>
  </si>
  <si>
    <t>Malta, Republic of</t>
  </si>
  <si>
    <t>MLT</t>
  </si>
  <si>
    <t>MQ</t>
  </si>
  <si>
    <t>MTQ</t>
  </si>
  <si>
    <t>Mauritania, Islamic Republic of</t>
  </si>
  <si>
    <t>MR</t>
  </si>
  <si>
    <t>MRT</t>
  </si>
  <si>
    <t>Mauritius, Republic of</t>
  </si>
  <si>
    <t>MU</t>
  </si>
  <si>
    <t>MUS</t>
  </si>
  <si>
    <t>Mexico, United Mexican States</t>
  </si>
  <si>
    <t>MEX</t>
  </si>
  <si>
    <t>Monaco, Principality of</t>
  </si>
  <si>
    <t>MC</t>
  </si>
  <si>
    <t>MCO</t>
  </si>
  <si>
    <t>MN</t>
  </si>
  <si>
    <t>MNG</t>
  </si>
  <si>
    <t>Moldova, Republic of</t>
  </si>
  <si>
    <t>MDA</t>
  </si>
  <si>
    <t>Montenegro, Republic of</t>
  </si>
  <si>
    <t>ME</t>
  </si>
  <si>
    <t>MNE</t>
  </si>
  <si>
    <t>MS</t>
  </si>
  <si>
    <t>MSR</t>
  </si>
  <si>
    <t>Morocco, Kingdom of</t>
  </si>
  <si>
    <t>MA</t>
  </si>
  <si>
    <t>MAR</t>
  </si>
  <si>
    <t>Mozambique, Republic of</t>
  </si>
  <si>
    <t>MZ</t>
  </si>
  <si>
    <t>MOZ</t>
  </si>
  <si>
    <t>Oman, Sultanate of</t>
  </si>
  <si>
    <t>OM</t>
  </si>
  <si>
    <t>OMN</t>
  </si>
  <si>
    <t>Namibia, Republic of</t>
  </si>
  <si>
    <t>NAM</t>
  </si>
  <si>
    <t>Nauru, Republic of</t>
  </si>
  <si>
    <t>NR</t>
  </si>
  <si>
    <t>NRU</t>
  </si>
  <si>
    <t>Nepal, State of</t>
  </si>
  <si>
    <t>NP</t>
  </si>
  <si>
    <t>NPL</t>
  </si>
  <si>
    <t>Netherlands, Kingdom of the</t>
  </si>
  <si>
    <t>NLD</t>
  </si>
  <si>
    <t>ANT</t>
  </si>
  <si>
    <t>CuraÃ§ao</t>
  </si>
  <si>
    <t>CW</t>
  </si>
  <si>
    <t>CUW</t>
  </si>
  <si>
    <t>AW</t>
  </si>
  <si>
    <t>ABW</t>
  </si>
  <si>
    <t>Sint Maarten (Netherlands)</t>
  </si>
  <si>
    <t>SX</t>
  </si>
  <si>
    <t>SXM</t>
  </si>
  <si>
    <t>Bonaire, Sint Eustatius and Saba</t>
  </si>
  <si>
    <t>BQ</t>
  </si>
  <si>
    <t>BES</t>
  </si>
  <si>
    <t>NC</t>
  </si>
  <si>
    <t>NCL</t>
  </si>
  <si>
    <t>Vanuatu, Republic of</t>
  </si>
  <si>
    <t>VU</t>
  </si>
  <si>
    <t>VUT</t>
  </si>
  <si>
    <t>NZL</t>
  </si>
  <si>
    <t>Nicaragua, Republic of</t>
  </si>
  <si>
    <t>NI</t>
  </si>
  <si>
    <t>NIC</t>
  </si>
  <si>
    <t>Niger, Republic of</t>
  </si>
  <si>
    <t>NE</t>
  </si>
  <si>
    <t>NER</t>
  </si>
  <si>
    <t>Nigeria, Federal Republic of</t>
  </si>
  <si>
    <t>NGA</t>
  </si>
  <si>
    <t>NU</t>
  </si>
  <si>
    <t>NIU</t>
  </si>
  <si>
    <t>NF</t>
  </si>
  <si>
    <t>NFK</t>
  </si>
  <si>
    <t>Norway, Kingdom of</t>
  </si>
  <si>
    <t>NO</t>
  </si>
  <si>
    <t>NOR</t>
  </si>
  <si>
    <t>Northern Mariana Islands, Commonwealth of the</t>
  </si>
  <si>
    <t>MP</t>
  </si>
  <si>
    <t>MNP</t>
  </si>
  <si>
    <t>UM</t>
  </si>
  <si>
    <t>UMI</t>
  </si>
  <si>
    <t>Micronesia, Federated States of</t>
  </si>
  <si>
    <t>FM</t>
  </si>
  <si>
    <t>FSM</t>
  </si>
  <si>
    <t>Marshall Islands, Republic of the</t>
  </si>
  <si>
    <t>MH</t>
  </si>
  <si>
    <t>MHL</t>
  </si>
  <si>
    <t>Palau, Republic of</t>
  </si>
  <si>
    <t>PW</t>
  </si>
  <si>
    <t>PLW</t>
  </si>
  <si>
    <t>Pakistan, Islamic Republic of</t>
  </si>
  <si>
    <t>PAK</t>
  </si>
  <si>
    <t>Panama, Republic of</t>
  </si>
  <si>
    <t>PA</t>
  </si>
  <si>
    <t>PAN</t>
  </si>
  <si>
    <t>Papua New Guinea, Independent State of</t>
  </si>
  <si>
    <t>PG</t>
  </si>
  <si>
    <t>PNG</t>
  </si>
  <si>
    <t>Paraguay, Republic of</t>
  </si>
  <si>
    <t>PY</t>
  </si>
  <si>
    <t>PRY</t>
  </si>
  <si>
    <t>Peru, Republic of</t>
  </si>
  <si>
    <t>PE</t>
  </si>
  <si>
    <t>PER</t>
  </si>
  <si>
    <t>PHL</t>
  </si>
  <si>
    <t>Pitcairn Islands</t>
  </si>
  <si>
    <t>PN</t>
  </si>
  <si>
    <t>PCN</t>
  </si>
  <si>
    <t>Poland, Republic of</t>
  </si>
  <si>
    <t>POL</t>
  </si>
  <si>
    <t>Portugal, Portuguese Republic</t>
  </si>
  <si>
    <t>PRT</t>
  </si>
  <si>
    <t>Guinea-Bissau, Republic of</t>
  </si>
  <si>
    <t>GW</t>
  </si>
  <si>
    <t>GNB</t>
  </si>
  <si>
    <t>Timor-Leste, Democratic Republic of</t>
  </si>
  <si>
    <t>TL</t>
  </si>
  <si>
    <t>TLS</t>
  </si>
  <si>
    <t>Puerto Rico, Commonwealth of</t>
  </si>
  <si>
    <t>PRI</t>
  </si>
  <si>
    <t>Qatar, State of</t>
  </si>
  <si>
    <t>QA</t>
  </si>
  <si>
    <t>QAT</t>
  </si>
  <si>
    <t>RE</t>
  </si>
  <si>
    <t>REU</t>
  </si>
  <si>
    <t>ROU</t>
  </si>
  <si>
    <t>RUS</t>
  </si>
  <si>
    <t>Rwanda, Republic of</t>
  </si>
  <si>
    <t>RW</t>
  </si>
  <si>
    <t>RWA</t>
  </si>
  <si>
    <t>Saint Barthelemy</t>
  </si>
  <si>
    <t>BL</t>
  </si>
  <si>
    <t>BLM</t>
  </si>
  <si>
    <t>Saint Helena</t>
  </si>
  <si>
    <t>SH</t>
  </si>
  <si>
    <t>SHN</t>
  </si>
  <si>
    <t>Saint Kitts and Nevis, Federation of</t>
  </si>
  <si>
    <t>KN</t>
  </si>
  <si>
    <t>KNA</t>
  </si>
  <si>
    <t>AI</t>
  </si>
  <si>
    <t>AIA</t>
  </si>
  <si>
    <t>LC</t>
  </si>
  <si>
    <t>LCA</t>
  </si>
  <si>
    <t>Saint Martin</t>
  </si>
  <si>
    <t>MF</t>
  </si>
  <si>
    <t>MAF</t>
  </si>
  <si>
    <t>Saint Pierre and Miquelon</t>
  </si>
  <si>
    <t>PM</t>
  </si>
  <si>
    <t>SPM</t>
  </si>
  <si>
    <t>Saint Vincent and the Grenadines</t>
  </si>
  <si>
    <t>VC</t>
  </si>
  <si>
    <t>VCT</t>
  </si>
  <si>
    <t>San Marino, Republic of</t>
  </si>
  <si>
    <t>SM</t>
  </si>
  <si>
    <t>SMR</t>
  </si>
  <si>
    <t>Sao Tome and Principe, Democratic Republic of</t>
  </si>
  <si>
    <t>ST</t>
  </si>
  <si>
    <t>STP</t>
  </si>
  <si>
    <t>Saudi Arabia, Kingdom of</t>
  </si>
  <si>
    <t>SAU</t>
  </si>
  <si>
    <t>Senegal, Republic of</t>
  </si>
  <si>
    <t>SN</t>
  </si>
  <si>
    <t>SEN</t>
  </si>
  <si>
    <t>Serbia, Republic of</t>
  </si>
  <si>
    <t>SRB</t>
  </si>
  <si>
    <t>Seychelles, Republic of</t>
  </si>
  <si>
    <t>SC</t>
  </si>
  <si>
    <t>SYC</t>
  </si>
  <si>
    <t>Sierra Leone, Republic of</t>
  </si>
  <si>
    <t>SL</t>
  </si>
  <si>
    <t>SLE</t>
  </si>
  <si>
    <t>Singapore, Republic of</t>
  </si>
  <si>
    <t>SGP</t>
  </si>
  <si>
    <t>SK</t>
  </si>
  <si>
    <t>SVK</t>
  </si>
  <si>
    <t>Vietnam, Socialist Republic of</t>
  </si>
  <si>
    <t>VNM</t>
  </si>
  <si>
    <t>Slovenia, Republic of</t>
  </si>
  <si>
    <t>SVN</t>
  </si>
  <si>
    <t>Somalia, Somali Republic</t>
  </si>
  <si>
    <t>SO</t>
  </si>
  <si>
    <t>SOM</t>
  </si>
  <si>
    <t>South Africa, Republic of</t>
  </si>
  <si>
    <t>ZA</t>
  </si>
  <si>
    <t>ZAF</t>
  </si>
  <si>
    <t>Zimbabwe, Republic of</t>
  </si>
  <si>
    <t>ZW</t>
  </si>
  <si>
    <t>ZWE</t>
  </si>
  <si>
    <t>Spain, Kingdom of</t>
  </si>
  <si>
    <t>ESP</t>
  </si>
  <si>
    <t>South Sudan</t>
  </si>
  <si>
    <t>SS</t>
  </si>
  <si>
    <t>SSD</t>
  </si>
  <si>
    <t>Western Sahara</t>
  </si>
  <si>
    <t>EH</t>
  </si>
  <si>
    <t>ESH</t>
  </si>
  <si>
    <t>Sudan, Republic of</t>
  </si>
  <si>
    <t>SD</t>
  </si>
  <si>
    <t>SDN</t>
  </si>
  <si>
    <t>Suriname, Republic of</t>
  </si>
  <si>
    <t>SR</t>
  </si>
  <si>
    <t>SUR</t>
  </si>
  <si>
    <t>Svalbard &amp; Jan Mayen Islands</t>
  </si>
  <si>
    <t>SJ</t>
  </si>
  <si>
    <t>SJM</t>
  </si>
  <si>
    <t>Swaziland, Kingdom of</t>
  </si>
  <si>
    <t>SZ</t>
  </si>
  <si>
    <t>SWZ</t>
  </si>
  <si>
    <t>Sweden, Kingdom of</t>
  </si>
  <si>
    <t>SWE</t>
  </si>
  <si>
    <t>Switzerland, Swiss Confederation</t>
  </si>
  <si>
    <t>CHE</t>
  </si>
  <si>
    <t>SY</t>
  </si>
  <si>
    <t>SYR</t>
  </si>
  <si>
    <t>Tajikistan, Republic of</t>
  </si>
  <si>
    <t>TJ</t>
  </si>
  <si>
    <t>TJK</t>
  </si>
  <si>
    <t>Thailand, Kingdom of</t>
  </si>
  <si>
    <t>TH</t>
  </si>
  <si>
    <t>THA</t>
  </si>
  <si>
    <t>Togo, Togolese Republic</t>
  </si>
  <si>
    <t>TG</t>
  </si>
  <si>
    <t>TGO</t>
  </si>
  <si>
    <t>TK</t>
  </si>
  <si>
    <t>TKL</t>
  </si>
  <si>
    <t>Tonga, Kingdom of</t>
  </si>
  <si>
    <t>TO</t>
  </si>
  <si>
    <t>TON</t>
  </si>
  <si>
    <t>Trinidad and Tobago, Republic of</t>
  </si>
  <si>
    <t>TT</t>
  </si>
  <si>
    <t>TTO</t>
  </si>
  <si>
    <t>ARE</t>
  </si>
  <si>
    <t>Tunisia, Tunisian Republic</t>
  </si>
  <si>
    <t>TUN</t>
  </si>
  <si>
    <t>Turkey, Republic of</t>
  </si>
  <si>
    <t>TUR</t>
  </si>
  <si>
    <t>TM</t>
  </si>
  <si>
    <t>TKM</t>
  </si>
  <si>
    <t>Turks and Caicos Islands</t>
  </si>
  <si>
    <t>TC</t>
  </si>
  <si>
    <t>TCA</t>
  </si>
  <si>
    <t>TV</t>
  </si>
  <si>
    <t>TUV</t>
  </si>
  <si>
    <t>Uganda, Republic of</t>
  </si>
  <si>
    <t>UG</t>
  </si>
  <si>
    <t>UGA</t>
  </si>
  <si>
    <t>UKR</t>
  </si>
  <si>
    <t>Macedonia, The Former Yugoslav Republic of</t>
  </si>
  <si>
    <t>MK</t>
  </si>
  <si>
    <t>MKD</t>
  </si>
  <si>
    <t>Egypt, Arab Republic of</t>
  </si>
  <si>
    <t>EG</t>
  </si>
  <si>
    <t>EGY</t>
  </si>
  <si>
    <t>United Kingdom of Great Britain &amp; Northern Ireland</t>
  </si>
  <si>
    <t>GBR</t>
  </si>
  <si>
    <t>Guernsey, Bailiwick of</t>
  </si>
  <si>
    <t>GG</t>
  </si>
  <si>
    <t>GGY</t>
  </si>
  <si>
    <t>Jersey, Bailiwick of</t>
  </si>
  <si>
    <t>JEY</t>
  </si>
  <si>
    <t>IM</t>
  </si>
  <si>
    <t>IMN</t>
  </si>
  <si>
    <t>Tanzania, United Republic of</t>
  </si>
  <si>
    <t>TZ</t>
  </si>
  <si>
    <t>TZA</t>
  </si>
  <si>
    <t>United States of America</t>
  </si>
  <si>
    <t>USA</t>
  </si>
  <si>
    <t>United States Virgin Islands</t>
  </si>
  <si>
    <t>VI</t>
  </si>
  <si>
    <t>VIR</t>
  </si>
  <si>
    <t>BF</t>
  </si>
  <si>
    <t>BFA</t>
  </si>
  <si>
    <t>Uruguay, Eastern Republic of</t>
  </si>
  <si>
    <t>UY</t>
  </si>
  <si>
    <t>URY</t>
  </si>
  <si>
    <t>Uzbekistan, Republic of</t>
  </si>
  <si>
    <t>UZ</t>
  </si>
  <si>
    <t>UZB</t>
  </si>
  <si>
    <t>Venezuela, Bolivarian Republic of</t>
  </si>
  <si>
    <t>VE</t>
  </si>
  <si>
    <t>VEN</t>
  </si>
  <si>
    <t>Wallis and Futuna</t>
  </si>
  <si>
    <t>WF</t>
  </si>
  <si>
    <t>WLF</t>
  </si>
  <si>
    <t>Samoa, Independent State of</t>
  </si>
  <si>
    <t>WS</t>
  </si>
  <si>
    <t>WSM</t>
  </si>
  <si>
    <t>YE</t>
  </si>
  <si>
    <t>YEM</t>
  </si>
  <si>
    <t>Zambia, Republic of</t>
  </si>
  <si>
    <t>ZM</t>
  </si>
  <si>
    <t>ZMB</t>
  </si>
  <si>
    <t>Disputed Territory</t>
  </si>
  <si>
    <t>XX</t>
  </si>
  <si>
    <t>Iraq-Saudi Arabia Neutral Zone</t>
  </si>
  <si>
    <t>XE</t>
  </si>
  <si>
    <t>United Nations Neutral Zone</t>
  </si>
  <si>
    <t>XD</t>
  </si>
  <si>
    <t>Spratly Islands</t>
  </si>
  <si>
    <t>XS</t>
  </si>
  <si>
    <t>Region</t>
  </si>
  <si>
    <t>Grand Total</t>
  </si>
  <si>
    <t>Manager</t>
  </si>
  <si>
    <t>Computer Vision</t>
  </si>
  <si>
    <t>Scientist</t>
  </si>
  <si>
    <t>Machine Learning</t>
  </si>
  <si>
    <t xml:space="preserve">Category </t>
  </si>
  <si>
    <t>Average Salary</t>
  </si>
  <si>
    <t>Average Ration of Remote Work</t>
  </si>
  <si>
    <t xml:space="preserve">Increase in jobs as per category </t>
  </si>
  <si>
    <t>Jobs over the years in different regions</t>
  </si>
  <si>
    <t>Analysis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</si>
</sst>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9" x14ac:knownFonts="1">
    <font>
      <sz val="11"/>
      <color theme="1"/>
      <name val="Calisto MT"/>
      <family val="2"/>
      <scheme val="minor"/>
    </font>
    <font>
      <sz val="11"/>
      <color theme="1"/>
      <name val="Calisto MT"/>
      <family val="2"/>
      <scheme val="minor"/>
    </font>
    <font>
      <sz val="18"/>
      <color theme="3"/>
      <name val="Calisto MT"/>
      <family val="2"/>
      <scheme val="major"/>
    </font>
    <font>
      <b/>
      <sz val="15"/>
      <color theme="3"/>
      <name val="Calisto MT"/>
      <family val="2"/>
      <scheme val="minor"/>
    </font>
    <font>
      <b/>
      <sz val="13"/>
      <color theme="3"/>
      <name val="Calisto MT"/>
      <family val="2"/>
      <scheme val="minor"/>
    </font>
    <font>
      <b/>
      <sz val="11"/>
      <color theme="3"/>
      <name val="Calisto MT"/>
      <family val="2"/>
      <scheme val="minor"/>
    </font>
    <font>
      <sz val="11"/>
      <color rgb="FF006100"/>
      <name val="Calisto MT"/>
      <family val="2"/>
      <scheme val="minor"/>
    </font>
    <font>
      <sz val="11"/>
      <color rgb="FF9C0006"/>
      <name val="Calisto MT"/>
      <family val="2"/>
      <scheme val="minor"/>
    </font>
    <font>
      <sz val="11"/>
      <color rgb="FF9C5700"/>
      <name val="Calisto MT"/>
      <family val="2"/>
      <scheme val="minor"/>
    </font>
    <font>
      <sz val="11"/>
      <color rgb="FF3F3F76"/>
      <name val="Calisto MT"/>
      <family val="2"/>
      <scheme val="minor"/>
    </font>
    <font>
      <b/>
      <sz val="11"/>
      <color rgb="FF3F3F3F"/>
      <name val="Calisto MT"/>
      <family val="2"/>
      <scheme val="minor"/>
    </font>
    <font>
      <b/>
      <sz val="11"/>
      <color rgb="FFFA7D00"/>
      <name val="Calisto MT"/>
      <family val="2"/>
      <scheme val="minor"/>
    </font>
    <font>
      <sz val="11"/>
      <color rgb="FFFA7D00"/>
      <name val="Calisto MT"/>
      <family val="2"/>
      <scheme val="minor"/>
    </font>
    <font>
      <b/>
      <sz val="11"/>
      <color theme="0"/>
      <name val="Calisto MT"/>
      <family val="2"/>
      <scheme val="minor"/>
    </font>
    <font>
      <sz val="11"/>
      <color rgb="FFFF0000"/>
      <name val="Calisto MT"/>
      <family val="2"/>
      <scheme val="minor"/>
    </font>
    <font>
      <i/>
      <sz val="11"/>
      <color rgb="FF7F7F7F"/>
      <name val="Calisto MT"/>
      <family val="2"/>
      <scheme val="minor"/>
    </font>
    <font>
      <b/>
      <sz val="11"/>
      <color theme="1"/>
      <name val="Calisto MT"/>
      <family val="2"/>
      <scheme val="minor"/>
    </font>
    <font>
      <sz val="11"/>
      <color theme="0"/>
      <name val="Calisto MT"/>
      <family val="2"/>
      <scheme val="minor"/>
    </font>
    <font>
      <sz val="22"/>
      <color theme="1"/>
      <name val="Calisto MT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49" fontId="0" fillId="0" borderId="0" xfId="0" applyNumberFormat="1" applyAlignment="1">
      <alignment horizontal="right"/>
    </xf>
    <xf numFmtId="0" fontId="0" fillId="0" borderId="0" xfId="0" pivotButton="1"/>
    <xf numFmtId="49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9C0006"/>
      </font>
      <fill>
        <patternFill>
          <bgColor rgb="FFFFC7CE"/>
        </patternFill>
      </fill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" formatCode="0"/>
    </dxf>
    <dxf>
      <numFmt numFmtId="164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[salaries.xlsm]PivotTables!PivotTable8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Salary vs</a:t>
            </a:r>
            <a:r>
              <a:rPr lang="en-US" baseline="0"/>
              <a:t> year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PivotTables!$A$4:$A$6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PivotTables!$B$4:$B$6</c:f>
              <c:numCache>
                <c:formatCode>"$"#,##0.00</c:formatCode>
                <c:ptCount val="3"/>
                <c:pt idx="0">
                  <c:v>56186.428571428572</c:v>
                </c:pt>
                <c:pt idx="1">
                  <c:v>92033.611111111109</c:v>
                </c:pt>
                <c:pt idx="2">
                  <c:v>97750.743589743593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5-4343-BDF5-F36347960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6708207"/>
        <c:axId val="1146718191"/>
      </c:barChart>
      <c:catAx>
        <c:axId val="1146708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718191"/>
        <c:crosses val="autoZero"/>
        <c:auto val="1"/>
        <c:lblAlgn val="ctr"/>
        <c:lblOffset val="100"/>
        <c:noMultiLvlLbl val="0"/>
      </c:catAx>
      <c:valAx>
        <c:axId val="114671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708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[salaries.xlsm]PivotTables!PivotTable11</c:name>
    <c:fmtId val="7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PivotTables!$B$18:$B$19</c:f>
              <c:strCache>
                <c:ptCount val="1"/>
                <c:pt idx="0">
                  <c:v>Large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PivotTables!$A$20:$A$22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PivotTables!$B$20:$B$22</c:f>
              <c:numCache>
                <c:formatCode>0</c:formatCode>
                <c:ptCount val="3"/>
                <c:pt idx="0">
                  <c:v>71.212121212121218</c:v>
                </c:pt>
                <c:pt idx="1">
                  <c:v>68.067226890756302</c:v>
                </c:pt>
                <c:pt idx="2">
                  <c:v>68.478260869565219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4-4B89-9A6D-2CDC3ED6316D}"/>
            </c:ext>
          </c:extLst>
        </c:ser>
        <c:ser>
          <c:idx val="1"/>
          <c:order val="1"/>
          <c:tx>
            <c:strRef>
              <c:f>PivotTables!$C$18:$C$19</c:f>
              <c:strCache>
                <c:ptCount val="1"/>
                <c:pt idx="0">
                  <c:v>Medium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PivotTables!$A$20:$A$22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PivotTables!$C$20:$C$22</c:f>
              <c:numCache>
                <c:formatCode>0</c:formatCode>
                <c:ptCount val="3"/>
                <c:pt idx="0">
                  <c:v>57.142857142857146</c:v>
                </c:pt>
                <c:pt idx="1">
                  <c:v>69.811320754716988</c:v>
                </c:pt>
                <c:pt idx="2">
                  <c:v>73.938223938223942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4-4B89-9A6D-2CDC3ED6316D}"/>
            </c:ext>
          </c:extLst>
        </c:ser>
        <c:ser>
          <c:idx val="2"/>
          <c:order val="2"/>
          <c:tx>
            <c:strRef>
              <c:f>PivotTables!$D$18:$D$19</c:f>
              <c:strCache>
                <c:ptCount val="1"/>
                <c:pt idx="0">
                  <c:v>Small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PivotTables!$A$20:$A$22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PivotTables!$D$20:$D$22</c:f>
              <c:numCache>
                <c:formatCode>0</c:formatCode>
                <c:ptCount val="3"/>
                <c:pt idx="0">
                  <c:v>60</c:v>
                </c:pt>
                <c:pt idx="1">
                  <c:v>71.111111111111114</c:v>
                </c:pt>
                <c:pt idx="2">
                  <c:v>84.615384615384613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04-4B89-9A6D-2CDC3ED63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0085743"/>
        <c:axId val="1150086991"/>
      </c:lineChart>
      <c:catAx>
        <c:axId val="1150085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086991"/>
        <c:crosses val="autoZero"/>
        <c:auto val="1"/>
        <c:lblAlgn val="ctr"/>
        <c:lblOffset val="100"/>
        <c:noMultiLvlLbl val="0"/>
      </c:catAx>
      <c:valAx>
        <c:axId val="115008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085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[salaries.xlsm]PivotTables!PivotTable12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Experience level</a:t>
            </a:r>
            <a:r>
              <a:rPr lang="en-CA" baseline="0"/>
              <a:t> vs avg salary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PivotTables!$O$2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PivotTables!$N$3:$N$6</c:f>
              <c:strCache>
                <c:ptCount val="4"/>
                <c:pt idx="0">
                  <c:v>Entry Level</c:v>
                </c:pt>
                <c:pt idx="1">
                  <c:v>Expert Level</c:v>
                </c:pt>
                <c:pt idx="2">
                  <c:v>Mid level</c:v>
                </c:pt>
                <c:pt idx="3">
                  <c:v>Senior Level</c:v>
                </c:pt>
              </c:strCache>
            </c:strRef>
          </c:cat>
          <c:val>
            <c:numRef>
              <c:f>PivotTables!$O$3:$O$6</c:f>
              <c:numCache>
                <c:formatCode>"$"#,##0.00</c:formatCode>
                <c:ptCount val="4"/>
                <c:pt idx="0">
                  <c:v>61643.318181818184</c:v>
                </c:pt>
                <c:pt idx="1">
                  <c:v>199392.03846153847</c:v>
                </c:pt>
                <c:pt idx="2">
                  <c:v>87996.056338028167</c:v>
                </c:pt>
                <c:pt idx="3">
                  <c:v>138617.29285714286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4A-4F28-AC4C-FC4645A3F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2832287"/>
        <c:axId val="1452831455"/>
      </c:barChart>
      <c:catAx>
        <c:axId val="1452832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831455"/>
        <c:crosses val="autoZero"/>
        <c:auto val="1"/>
        <c:lblAlgn val="ctr"/>
        <c:lblOffset val="100"/>
        <c:noMultiLvlLbl val="0"/>
      </c:catAx>
      <c:valAx>
        <c:axId val="145283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832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[salaries.xlsm]PivotTables!PivotTable15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PivotTables!$B$37:$B$38</c:f>
              <c:strCache>
                <c:ptCount val="1"/>
                <c:pt idx="0">
                  <c:v>Computer Vision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PivotTables!$A$39:$A$41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PivotTables!$B$39:$B$41</c:f>
              <c:numCache>
                <c:formatCode>General</c:formatCode>
                <c:ptCount val="3"/>
                <c:pt idx="1">
                  <c:v>3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DB-4435-A674-653606EAE9F4}"/>
            </c:ext>
          </c:extLst>
        </c:ser>
        <c:ser>
          <c:idx val="1"/>
          <c:order val="1"/>
          <c:tx>
            <c:strRef>
              <c:f>PivotTables!$C$37:$C$38</c:f>
              <c:strCache>
                <c:ptCount val="1"/>
                <c:pt idx="0">
                  <c:v>Data Analyst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PivotTables!$A$39:$A$41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PivotTables!$C$39:$C$41</c:f>
              <c:numCache>
                <c:formatCode>General</c:formatCode>
                <c:ptCount val="3"/>
                <c:pt idx="0">
                  <c:v>14</c:v>
                </c:pt>
                <c:pt idx="1">
                  <c:v>36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DB-4435-A674-653606EAE9F4}"/>
            </c:ext>
          </c:extLst>
        </c:ser>
        <c:ser>
          <c:idx val="2"/>
          <c:order val="2"/>
          <c:tx>
            <c:strRef>
              <c:f>PivotTables!$D$37:$D$38</c:f>
              <c:strCache>
                <c:ptCount val="1"/>
                <c:pt idx="0">
                  <c:v>Data Engineer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PivotTables!$A$39:$A$41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PivotTables!$D$39:$D$41</c:f>
              <c:numCache>
                <c:formatCode>General</c:formatCode>
                <c:ptCount val="3"/>
                <c:pt idx="0">
                  <c:v>15</c:v>
                </c:pt>
                <c:pt idx="1">
                  <c:v>51</c:v>
                </c:pt>
                <c:pt idx="2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DB-4435-A674-653606EAE9F4}"/>
            </c:ext>
          </c:extLst>
        </c:ser>
        <c:ser>
          <c:idx val="3"/>
          <c:order val="3"/>
          <c:tx>
            <c:strRef>
              <c:f>PivotTables!$E$37:$E$38</c:f>
              <c:strCache>
                <c:ptCount val="1"/>
                <c:pt idx="0">
                  <c:v>Data Scientist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PivotTables!$A$39:$A$41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PivotTables!$E$39:$E$41</c:f>
              <c:numCache>
                <c:formatCode>General</c:formatCode>
                <c:ptCount val="3"/>
                <c:pt idx="0">
                  <c:v>22</c:v>
                </c:pt>
                <c:pt idx="1">
                  <c:v>53</c:v>
                </c:pt>
                <c:pt idx="2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DB-4435-A674-653606EAE9F4}"/>
            </c:ext>
          </c:extLst>
        </c:ser>
        <c:ser>
          <c:idx val="4"/>
          <c:order val="4"/>
          <c:tx>
            <c:strRef>
              <c:f>PivotTables!$F$37:$F$38</c:f>
              <c:strCache>
                <c:ptCount val="1"/>
                <c:pt idx="0">
                  <c:v>Machine Learning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PivotTables!$A$39:$A$41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PivotTables!$F$39:$F$41</c:f>
              <c:numCache>
                <c:formatCode>General</c:formatCode>
                <c:ptCount val="3"/>
                <c:pt idx="0">
                  <c:v>7</c:v>
                </c:pt>
                <c:pt idx="1">
                  <c:v>24</c:v>
                </c:pt>
                <c:pt idx="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DB-4435-A674-653606EAE9F4}"/>
            </c:ext>
          </c:extLst>
        </c:ser>
        <c:ser>
          <c:idx val="5"/>
          <c:order val="5"/>
          <c:tx>
            <c:strRef>
              <c:f>PivotTables!$G$37:$G$38</c:f>
              <c:strCache>
                <c:ptCount val="1"/>
                <c:pt idx="0">
                  <c:v>Manager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PivotTables!$A$39:$A$41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PivotTables!$G$39:$G$41</c:f>
              <c:numCache>
                <c:formatCode>General</c:formatCode>
                <c:ptCount val="3"/>
                <c:pt idx="0">
                  <c:v>10</c:v>
                </c:pt>
                <c:pt idx="1">
                  <c:v>30</c:v>
                </c:pt>
                <c:pt idx="2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DB-4435-A674-653606EAE9F4}"/>
            </c:ext>
          </c:extLst>
        </c:ser>
        <c:ser>
          <c:idx val="6"/>
          <c:order val="6"/>
          <c:tx>
            <c:strRef>
              <c:f>PivotTables!$H$37:$H$38</c:f>
              <c:strCache>
                <c:ptCount val="1"/>
                <c:pt idx="0">
                  <c:v>Scientist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PivotTables!$A$39:$A$41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PivotTables!$H$39:$H$41</c:f>
              <c:numCache>
                <c:formatCode>General</c:formatCode>
                <c:ptCount val="3"/>
                <c:pt idx="0">
                  <c:v>4</c:v>
                </c:pt>
                <c:pt idx="1">
                  <c:v>20</c:v>
                </c:pt>
                <c:pt idx="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2DB-4435-A674-653606EAE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0518127"/>
        <c:axId val="1520518959"/>
      </c:lineChart>
      <c:catAx>
        <c:axId val="1520518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518959"/>
        <c:crosses val="autoZero"/>
        <c:auto val="1"/>
        <c:lblAlgn val="ctr"/>
        <c:lblOffset val="100"/>
        <c:noMultiLvlLbl val="0"/>
      </c:catAx>
      <c:valAx>
        <c:axId val="152051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518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[salaries.xlsm]PivotTables!PivotTable18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PivotTables!$B$55:$B$56</c:f>
              <c:strCache>
                <c:ptCount val="1"/>
                <c:pt idx="0">
                  <c:v>Computer Vision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PivotTables!$A$57:$A$63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PivotTables!$B$57:$B$63</c:f>
              <c:numCache>
                <c:formatCode>General</c:formatCode>
                <c:ptCount val="6"/>
                <c:pt idx="1">
                  <c:v>1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96-4834-A184-373FC120E0E6}"/>
            </c:ext>
          </c:extLst>
        </c:ser>
        <c:ser>
          <c:idx val="1"/>
          <c:order val="1"/>
          <c:tx>
            <c:strRef>
              <c:f>PivotTables!$C$55:$C$56</c:f>
              <c:strCache>
                <c:ptCount val="1"/>
                <c:pt idx="0">
                  <c:v>Data Analyst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PivotTables!$A$57:$A$63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PivotTables!$C$57:$C$63</c:f>
              <c:numCache>
                <c:formatCode>General</c:formatCode>
                <c:ptCount val="6"/>
                <c:pt idx="0">
                  <c:v>2</c:v>
                </c:pt>
                <c:pt idx="1">
                  <c:v>6</c:v>
                </c:pt>
                <c:pt idx="2">
                  <c:v>23</c:v>
                </c:pt>
                <c:pt idx="3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96-4834-A184-373FC120E0E6}"/>
            </c:ext>
          </c:extLst>
        </c:ser>
        <c:ser>
          <c:idx val="2"/>
          <c:order val="2"/>
          <c:tx>
            <c:strRef>
              <c:f>PivotTables!$D$55:$D$56</c:f>
              <c:strCache>
                <c:ptCount val="1"/>
                <c:pt idx="0">
                  <c:v>Data Engineer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PivotTables!$A$57:$A$63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PivotTables!$D$57:$D$63</c:f>
              <c:numCache>
                <c:formatCode>General</c:formatCode>
                <c:ptCount val="6"/>
                <c:pt idx="1">
                  <c:v>7</c:v>
                </c:pt>
                <c:pt idx="2">
                  <c:v>52</c:v>
                </c:pt>
                <c:pt idx="3">
                  <c:v>111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96-4834-A184-373FC120E0E6}"/>
            </c:ext>
          </c:extLst>
        </c:ser>
        <c:ser>
          <c:idx val="3"/>
          <c:order val="3"/>
          <c:tx>
            <c:strRef>
              <c:f>PivotTables!$E$55:$E$56</c:f>
              <c:strCache>
                <c:ptCount val="1"/>
                <c:pt idx="0">
                  <c:v>Data Scientist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PivotTables!$A$57:$A$63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PivotTables!$E$57:$E$63</c:f>
              <c:numCache>
                <c:formatCode>General</c:formatCode>
                <c:ptCount val="6"/>
                <c:pt idx="0">
                  <c:v>2</c:v>
                </c:pt>
                <c:pt idx="1">
                  <c:v>11</c:v>
                </c:pt>
                <c:pt idx="2">
                  <c:v>41</c:v>
                </c:pt>
                <c:pt idx="3">
                  <c:v>101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96-4834-A184-373FC120E0E6}"/>
            </c:ext>
          </c:extLst>
        </c:ser>
        <c:ser>
          <c:idx val="4"/>
          <c:order val="4"/>
          <c:tx>
            <c:strRef>
              <c:f>PivotTables!$F$55:$F$56</c:f>
              <c:strCache>
                <c:ptCount val="1"/>
                <c:pt idx="0">
                  <c:v>Machine Learning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PivotTables!$A$57:$A$63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PivotTables!$F$57:$F$63</c:f>
              <c:numCache>
                <c:formatCode>General</c:formatCode>
                <c:ptCount val="6"/>
                <c:pt idx="1">
                  <c:v>10</c:v>
                </c:pt>
                <c:pt idx="2">
                  <c:v>20</c:v>
                </c:pt>
                <c:pt idx="3">
                  <c:v>22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96-4834-A184-373FC120E0E6}"/>
            </c:ext>
          </c:extLst>
        </c:ser>
        <c:ser>
          <c:idx val="5"/>
          <c:order val="5"/>
          <c:tx>
            <c:strRef>
              <c:f>PivotTables!$G$55:$G$56</c:f>
              <c:strCache>
                <c:ptCount val="1"/>
                <c:pt idx="0">
                  <c:v>Manager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PivotTables!$A$57:$A$63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PivotTables!$G$57:$G$63</c:f>
              <c:numCache>
                <c:formatCode>General</c:formatCode>
                <c:ptCount val="6"/>
                <c:pt idx="1">
                  <c:v>6</c:v>
                </c:pt>
                <c:pt idx="2">
                  <c:v>13</c:v>
                </c:pt>
                <c:pt idx="3">
                  <c:v>38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96-4834-A184-373FC120E0E6}"/>
            </c:ext>
          </c:extLst>
        </c:ser>
        <c:ser>
          <c:idx val="6"/>
          <c:order val="6"/>
          <c:tx>
            <c:strRef>
              <c:f>PivotTables!$H$55:$H$56</c:f>
              <c:strCache>
                <c:ptCount val="1"/>
                <c:pt idx="0">
                  <c:v>Scientist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PivotTables!$A$57:$A$63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PivotTables!$H$57:$H$63</c:f>
              <c:numCache>
                <c:formatCode>General</c:formatCode>
                <c:ptCount val="6"/>
                <c:pt idx="1">
                  <c:v>3</c:v>
                </c:pt>
                <c:pt idx="2">
                  <c:v>11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96-4834-A184-373FC120E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3993119"/>
        <c:axId val="973997695"/>
      </c:barChart>
      <c:catAx>
        <c:axId val="973993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997695"/>
        <c:crosses val="autoZero"/>
        <c:auto val="1"/>
        <c:lblAlgn val="ctr"/>
        <c:lblOffset val="100"/>
        <c:noMultiLvlLbl val="0"/>
      </c:catAx>
      <c:valAx>
        <c:axId val="973997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993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[salaries.xlsm]PivotTables!PivotTable8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Salary vs year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0000"/>
                  <a:lumMod val="90000"/>
                </a:schemeClr>
              </a:gs>
            </a:gsLst>
            <a:lin ang="5400000" scaled="0"/>
          </a:gradFill>
          <a:ln>
            <a:noFill/>
          </a:ln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0000"/>
                    <a:lumMod val="90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096418732782371E-2"/>
          <c:y val="0.34329781332538484"/>
          <c:w val="0.88340122773909457"/>
          <c:h val="0.526406517797262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PivotTables!$B$3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0000"/>
                    <a:lumMod val="9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PivotTables!$A$4:$A$6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PivotTables!$B$4:$B$6</c:f>
              <c:numCache>
                <c:formatCode>"$"#,##0.00</c:formatCode>
                <c:ptCount val="3"/>
                <c:pt idx="0">
                  <c:v>56186.428571428572</c:v>
                </c:pt>
                <c:pt idx="1">
                  <c:v>92033.611111111109</c:v>
                </c:pt>
                <c:pt idx="2">
                  <c:v>97750.743589743593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11-4B50-B099-8250EB43C9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46708207"/>
        <c:axId val="1146718191"/>
      </c:barChart>
      <c:catAx>
        <c:axId val="1146708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718191"/>
        <c:crosses val="autoZero"/>
        <c:auto val="1"/>
        <c:lblAlgn val="ctr"/>
        <c:lblOffset val="100"/>
        <c:noMultiLvlLbl val="0"/>
      </c:catAx>
      <c:valAx>
        <c:axId val="1146718191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1146708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[salaries.xlsm]PivotTables!PivotTable12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Experience level vs avg salary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0000"/>
                  <a:lumMod val="90000"/>
                </a:schemeClr>
              </a:gs>
            </a:gsLst>
            <a:lin ang="5400000" scaled="0"/>
          </a:gradFill>
          <a:ln>
            <a:noFill/>
          </a:ln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0000"/>
                    <a:lumMod val="90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289855072463767E-2"/>
          <c:y val="0.30312036944748993"/>
          <c:w val="0.86804245121533719"/>
          <c:h val="0.536635768630187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PivotTables!$O$2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0000"/>
                    <a:lumMod val="9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PivotTables!$N$3:$N$6</c:f>
              <c:strCache>
                <c:ptCount val="4"/>
                <c:pt idx="0">
                  <c:v>Entry Level</c:v>
                </c:pt>
                <c:pt idx="1">
                  <c:v>Expert Level</c:v>
                </c:pt>
                <c:pt idx="2">
                  <c:v>Mid level</c:v>
                </c:pt>
                <c:pt idx="3">
                  <c:v>Senior Level</c:v>
                </c:pt>
              </c:strCache>
            </c:strRef>
          </c:cat>
          <c:val>
            <c:numRef>
              <c:f>PivotTables!$O$3:$O$6</c:f>
              <c:numCache>
                <c:formatCode>"$"#,##0.00</c:formatCode>
                <c:ptCount val="4"/>
                <c:pt idx="0">
                  <c:v>61643.318181818184</c:v>
                </c:pt>
                <c:pt idx="1">
                  <c:v>199392.03846153847</c:v>
                </c:pt>
                <c:pt idx="2">
                  <c:v>87996.056338028167</c:v>
                </c:pt>
                <c:pt idx="3">
                  <c:v>138617.29285714286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8-4C15-9D3B-2AE1A8AE5D8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452832287"/>
        <c:axId val="1452831455"/>
      </c:barChart>
      <c:catAx>
        <c:axId val="1452832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831455"/>
        <c:crosses val="autoZero"/>
        <c:auto val="1"/>
        <c:lblAlgn val="ctr"/>
        <c:lblOffset val="100"/>
        <c:noMultiLvlLbl val="0"/>
      </c:catAx>
      <c:valAx>
        <c:axId val="1452831455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1452832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[salaries.xlsm]PivotTables!PivotTable11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Remote</a:t>
            </a:r>
            <a:r>
              <a:rPr lang="en-CA" baseline="0"/>
              <a:t> work increase in different sized companies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100747388427628E-2"/>
          <c:y val="0.23869932925051035"/>
          <c:w val="0.73752175714877743"/>
          <c:h val="0.65853091280256637"/>
        </c:manualLayout>
      </c:layout>
      <c:lineChart>
        <c:grouping val="standard"/>
        <c:varyColors val="0"/>
        <c:ser>
          <c:idx val="0"/>
          <c:order val="0"/>
          <c:tx>
            <c:strRef>
              <c:f>PivotTables!$B$18:$B$19</c:f>
              <c:strCache>
                <c:ptCount val="1"/>
                <c:pt idx="0">
                  <c:v>Large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PivotTables!$A$20:$A$22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PivotTables!$B$20:$B$22</c:f>
              <c:numCache>
                <c:formatCode>0</c:formatCode>
                <c:ptCount val="3"/>
                <c:pt idx="0">
                  <c:v>71.212121212121218</c:v>
                </c:pt>
                <c:pt idx="1">
                  <c:v>68.067226890756302</c:v>
                </c:pt>
                <c:pt idx="2">
                  <c:v>68.478260869565219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62-4288-84DC-62BCC4184ED8}"/>
            </c:ext>
          </c:extLst>
        </c:ser>
        <c:ser>
          <c:idx val="1"/>
          <c:order val="1"/>
          <c:tx>
            <c:strRef>
              <c:f>PivotTables!$C$18:$C$19</c:f>
              <c:strCache>
                <c:ptCount val="1"/>
                <c:pt idx="0">
                  <c:v>Medium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PivotTables!$A$20:$A$22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PivotTables!$C$20:$C$22</c:f>
              <c:numCache>
                <c:formatCode>0</c:formatCode>
                <c:ptCount val="3"/>
                <c:pt idx="0">
                  <c:v>57.142857142857146</c:v>
                </c:pt>
                <c:pt idx="1">
                  <c:v>69.811320754716988</c:v>
                </c:pt>
                <c:pt idx="2">
                  <c:v>73.938223938223942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62-4288-84DC-62BCC4184ED8}"/>
            </c:ext>
          </c:extLst>
        </c:ser>
        <c:ser>
          <c:idx val="2"/>
          <c:order val="2"/>
          <c:tx>
            <c:strRef>
              <c:f>PivotTables!$D$18:$D$19</c:f>
              <c:strCache>
                <c:ptCount val="1"/>
                <c:pt idx="0">
                  <c:v>Small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PivotTables!$A$20:$A$22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PivotTables!$D$20:$D$22</c:f>
              <c:numCache>
                <c:formatCode>0</c:formatCode>
                <c:ptCount val="3"/>
                <c:pt idx="0">
                  <c:v>60</c:v>
                </c:pt>
                <c:pt idx="1">
                  <c:v>71.111111111111114</c:v>
                </c:pt>
                <c:pt idx="2">
                  <c:v>84.615384615384613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62-4288-84DC-62BCC4184ED8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0085743"/>
        <c:axId val="1150086991"/>
      </c:lineChart>
      <c:catAx>
        <c:axId val="1150085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086991"/>
        <c:crosses val="autoZero"/>
        <c:auto val="1"/>
        <c:lblAlgn val="ctr"/>
        <c:lblOffset val="100"/>
        <c:noMultiLvlLbl val="0"/>
      </c:catAx>
      <c:valAx>
        <c:axId val="11500869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085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[salaries.xlsm]PivotTables!PivotTable15</c:name>
    <c:fmtId val="4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PivotTables!$B$37:$B$38</c:f>
              <c:strCache>
                <c:ptCount val="1"/>
                <c:pt idx="0">
                  <c:v>Computer Vision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PivotTables!$A$39:$A$41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PivotTables!$B$39:$B$41</c:f>
              <c:numCache>
                <c:formatCode>General</c:formatCode>
                <c:ptCount val="3"/>
                <c:pt idx="1">
                  <c:v>3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7-44A3-B9B8-69204C2E793A}"/>
            </c:ext>
          </c:extLst>
        </c:ser>
        <c:ser>
          <c:idx val="1"/>
          <c:order val="1"/>
          <c:tx>
            <c:strRef>
              <c:f>PivotTables!$C$37:$C$38</c:f>
              <c:strCache>
                <c:ptCount val="1"/>
                <c:pt idx="0">
                  <c:v>Data Analyst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PivotTables!$A$39:$A$41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PivotTables!$C$39:$C$41</c:f>
              <c:numCache>
                <c:formatCode>General</c:formatCode>
                <c:ptCount val="3"/>
                <c:pt idx="0">
                  <c:v>14</c:v>
                </c:pt>
                <c:pt idx="1">
                  <c:v>36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7-44A3-B9B8-69204C2E793A}"/>
            </c:ext>
          </c:extLst>
        </c:ser>
        <c:ser>
          <c:idx val="2"/>
          <c:order val="2"/>
          <c:tx>
            <c:strRef>
              <c:f>PivotTables!$D$37:$D$38</c:f>
              <c:strCache>
                <c:ptCount val="1"/>
                <c:pt idx="0">
                  <c:v>Data Engineer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PivotTables!$A$39:$A$41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PivotTables!$D$39:$D$41</c:f>
              <c:numCache>
                <c:formatCode>General</c:formatCode>
                <c:ptCount val="3"/>
                <c:pt idx="0">
                  <c:v>15</c:v>
                </c:pt>
                <c:pt idx="1">
                  <c:v>51</c:v>
                </c:pt>
                <c:pt idx="2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B7-44A3-B9B8-69204C2E793A}"/>
            </c:ext>
          </c:extLst>
        </c:ser>
        <c:ser>
          <c:idx val="3"/>
          <c:order val="3"/>
          <c:tx>
            <c:strRef>
              <c:f>PivotTables!$E$37:$E$38</c:f>
              <c:strCache>
                <c:ptCount val="1"/>
                <c:pt idx="0">
                  <c:v>Data Scientist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PivotTables!$A$39:$A$41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PivotTables!$E$39:$E$41</c:f>
              <c:numCache>
                <c:formatCode>General</c:formatCode>
                <c:ptCount val="3"/>
                <c:pt idx="0">
                  <c:v>22</c:v>
                </c:pt>
                <c:pt idx="1">
                  <c:v>53</c:v>
                </c:pt>
                <c:pt idx="2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B7-44A3-B9B8-69204C2E793A}"/>
            </c:ext>
          </c:extLst>
        </c:ser>
        <c:ser>
          <c:idx val="4"/>
          <c:order val="4"/>
          <c:tx>
            <c:strRef>
              <c:f>PivotTables!$F$37:$F$38</c:f>
              <c:strCache>
                <c:ptCount val="1"/>
                <c:pt idx="0">
                  <c:v>Machine Learning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PivotTables!$A$39:$A$41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PivotTables!$F$39:$F$41</c:f>
              <c:numCache>
                <c:formatCode>General</c:formatCode>
                <c:ptCount val="3"/>
                <c:pt idx="0">
                  <c:v>7</c:v>
                </c:pt>
                <c:pt idx="1">
                  <c:v>24</c:v>
                </c:pt>
                <c:pt idx="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B7-44A3-B9B8-69204C2E793A}"/>
            </c:ext>
          </c:extLst>
        </c:ser>
        <c:ser>
          <c:idx val="5"/>
          <c:order val="5"/>
          <c:tx>
            <c:strRef>
              <c:f>PivotTables!$G$37:$G$38</c:f>
              <c:strCache>
                <c:ptCount val="1"/>
                <c:pt idx="0">
                  <c:v>Manager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PivotTables!$A$39:$A$41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PivotTables!$G$39:$G$41</c:f>
              <c:numCache>
                <c:formatCode>General</c:formatCode>
                <c:ptCount val="3"/>
                <c:pt idx="0">
                  <c:v>10</c:v>
                </c:pt>
                <c:pt idx="1">
                  <c:v>30</c:v>
                </c:pt>
                <c:pt idx="2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6B7-44A3-B9B8-69204C2E793A}"/>
            </c:ext>
          </c:extLst>
        </c:ser>
        <c:ser>
          <c:idx val="6"/>
          <c:order val="6"/>
          <c:tx>
            <c:strRef>
              <c:f>PivotTables!$H$37:$H$38</c:f>
              <c:strCache>
                <c:ptCount val="1"/>
                <c:pt idx="0">
                  <c:v>Scientist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PivotTables!$A$39:$A$41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PivotTables!$H$39:$H$41</c:f>
              <c:numCache>
                <c:formatCode>General</c:formatCode>
                <c:ptCount val="3"/>
                <c:pt idx="0">
                  <c:v>4</c:v>
                </c:pt>
                <c:pt idx="1">
                  <c:v>20</c:v>
                </c:pt>
                <c:pt idx="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6B7-44A3-B9B8-69204C2E7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0518127"/>
        <c:axId val="1520518959"/>
      </c:lineChart>
      <c:catAx>
        <c:axId val="1520518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518959"/>
        <c:crosses val="autoZero"/>
        <c:auto val="1"/>
        <c:lblAlgn val="ctr"/>
        <c:lblOffset val="100"/>
        <c:noMultiLvlLbl val="0"/>
      </c:catAx>
      <c:valAx>
        <c:axId val="15205189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518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[salaries.xlsm]PivotTables!PivotTable18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0000"/>
                  <a:lumMod val="90000"/>
                </a:schemeClr>
              </a:gs>
            </a:gsLst>
            <a:lin ang="5400000" scaled="0"/>
          </a:gradFill>
          <a:ln>
            <a:noFill/>
          </a:ln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0000"/>
                    <a:lumMod val="90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0000"/>
                  <a:lumMod val="90000"/>
                </a:schemeClr>
              </a:gs>
            </a:gsLst>
            <a:lin ang="5400000" scaled="0"/>
          </a:gradFill>
          <a:ln>
            <a:noFill/>
          </a:ln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tint val="96000"/>
                    <a:lumMod val="104000"/>
                  </a:schemeClr>
                </a:gs>
                <a:gs pos="100000">
                  <a:schemeClr val="accent2">
                    <a:shade val="90000"/>
                    <a:lumMod val="90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0000"/>
                  <a:lumMod val="90000"/>
                </a:schemeClr>
              </a:gs>
            </a:gsLst>
            <a:lin ang="5400000" scaled="0"/>
          </a:gradFill>
          <a:ln>
            <a:noFill/>
          </a:ln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tint val="96000"/>
                    <a:lumMod val="104000"/>
                  </a:schemeClr>
                </a:gs>
                <a:gs pos="100000">
                  <a:schemeClr val="accent3">
                    <a:shade val="90000"/>
                    <a:lumMod val="90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0000"/>
                  <a:lumMod val="90000"/>
                </a:schemeClr>
              </a:gs>
            </a:gsLst>
            <a:lin ang="5400000" scaled="0"/>
          </a:gradFill>
          <a:ln>
            <a:noFill/>
          </a:ln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tint val="96000"/>
                    <a:lumMod val="104000"/>
                  </a:schemeClr>
                </a:gs>
                <a:gs pos="100000">
                  <a:schemeClr val="accent4">
                    <a:shade val="90000"/>
                    <a:lumMod val="90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0000"/>
                  <a:lumMod val="90000"/>
                </a:schemeClr>
              </a:gs>
            </a:gsLst>
            <a:lin ang="5400000" scaled="0"/>
          </a:gradFill>
          <a:ln>
            <a:noFill/>
          </a:ln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tint val="96000"/>
                    <a:lumMod val="104000"/>
                  </a:schemeClr>
                </a:gs>
                <a:gs pos="100000">
                  <a:schemeClr val="accent5">
                    <a:shade val="90000"/>
                    <a:lumMod val="90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0000"/>
                  <a:lumMod val="90000"/>
                </a:schemeClr>
              </a:gs>
            </a:gsLst>
            <a:lin ang="5400000" scaled="0"/>
          </a:gradFill>
          <a:ln>
            <a:noFill/>
          </a:ln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tint val="96000"/>
                    <a:lumMod val="104000"/>
                  </a:schemeClr>
                </a:gs>
                <a:gs pos="100000">
                  <a:schemeClr val="accent6">
                    <a:shade val="90000"/>
                    <a:lumMod val="90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0000"/>
                  <a:lumMod val="90000"/>
                </a:schemeClr>
              </a:gs>
            </a:gsLst>
            <a:lin ang="5400000" scaled="0"/>
          </a:gradFill>
          <a:ln>
            <a:noFill/>
          </a:ln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tint val="96000"/>
                    <a:lumMod val="104000"/>
                  </a:schemeClr>
                </a:gs>
                <a:gs pos="100000">
                  <a:schemeClr val="accent1">
                    <a:lumMod val="60000"/>
                    <a:shade val="90000"/>
                    <a:lumMod val="90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PivotTables!$B$55:$B$56</c:f>
              <c:strCache>
                <c:ptCount val="1"/>
                <c:pt idx="0">
                  <c:v>Computer Vision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0000"/>
                    <a:lumMod val="9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  <c:invertIfNegative val="0"/>
          <c:cat>
            <c:strRef>
              <c:f>PivotTables!$A$57:$A$63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PivotTables!$B$57:$B$63</c:f>
              <c:numCache>
                <c:formatCode>General</c:formatCode>
                <c:ptCount val="6"/>
                <c:pt idx="1">
                  <c:v>1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A-441B-B3B9-2354EA2E1B76}"/>
            </c:ext>
          </c:extLst>
        </c:ser>
        <c:ser>
          <c:idx val="1"/>
          <c:order val="1"/>
          <c:tx>
            <c:strRef>
              <c:f>PivotTables!$C$55:$C$56</c:f>
              <c:strCache>
                <c:ptCount val="1"/>
                <c:pt idx="0">
                  <c:v>Data Analyst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6000"/>
                    <a:lumMod val="104000"/>
                  </a:schemeClr>
                </a:gs>
                <a:gs pos="100000">
                  <a:schemeClr val="accent2">
                    <a:shade val="90000"/>
                    <a:lumMod val="9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  <c:invertIfNegative val="0"/>
          <c:cat>
            <c:strRef>
              <c:f>PivotTables!$A$57:$A$63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PivotTables!$C$57:$C$63</c:f>
              <c:numCache>
                <c:formatCode>General</c:formatCode>
                <c:ptCount val="6"/>
                <c:pt idx="0">
                  <c:v>2</c:v>
                </c:pt>
                <c:pt idx="1">
                  <c:v>6</c:v>
                </c:pt>
                <c:pt idx="2">
                  <c:v>23</c:v>
                </c:pt>
                <c:pt idx="3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1A-441B-B3B9-2354EA2E1B76}"/>
            </c:ext>
          </c:extLst>
        </c:ser>
        <c:ser>
          <c:idx val="2"/>
          <c:order val="2"/>
          <c:tx>
            <c:strRef>
              <c:f>PivotTables!$D$55:$D$56</c:f>
              <c:strCache>
                <c:ptCount val="1"/>
                <c:pt idx="0">
                  <c:v>Data Engineer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96000"/>
                    <a:lumMod val="104000"/>
                  </a:schemeClr>
                </a:gs>
                <a:gs pos="100000">
                  <a:schemeClr val="accent3">
                    <a:shade val="90000"/>
                    <a:lumMod val="9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  <c:invertIfNegative val="0"/>
          <c:cat>
            <c:strRef>
              <c:f>PivotTables!$A$57:$A$63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PivotTables!$D$57:$D$63</c:f>
              <c:numCache>
                <c:formatCode>General</c:formatCode>
                <c:ptCount val="6"/>
                <c:pt idx="1">
                  <c:v>7</c:v>
                </c:pt>
                <c:pt idx="2">
                  <c:v>52</c:v>
                </c:pt>
                <c:pt idx="3">
                  <c:v>111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1A-441B-B3B9-2354EA2E1B76}"/>
            </c:ext>
          </c:extLst>
        </c:ser>
        <c:ser>
          <c:idx val="3"/>
          <c:order val="3"/>
          <c:tx>
            <c:strRef>
              <c:f>PivotTables!$E$55:$E$56</c:f>
              <c:strCache>
                <c:ptCount val="1"/>
                <c:pt idx="0">
                  <c:v>Data Scientist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96000"/>
                    <a:lumMod val="104000"/>
                  </a:schemeClr>
                </a:gs>
                <a:gs pos="100000">
                  <a:schemeClr val="accent4">
                    <a:shade val="90000"/>
                    <a:lumMod val="9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  <c:invertIfNegative val="0"/>
          <c:cat>
            <c:strRef>
              <c:f>PivotTables!$A$57:$A$63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PivotTables!$E$57:$E$63</c:f>
              <c:numCache>
                <c:formatCode>General</c:formatCode>
                <c:ptCount val="6"/>
                <c:pt idx="0">
                  <c:v>2</c:v>
                </c:pt>
                <c:pt idx="1">
                  <c:v>11</c:v>
                </c:pt>
                <c:pt idx="2">
                  <c:v>41</c:v>
                </c:pt>
                <c:pt idx="3">
                  <c:v>101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1A-441B-B3B9-2354EA2E1B76}"/>
            </c:ext>
          </c:extLst>
        </c:ser>
        <c:ser>
          <c:idx val="4"/>
          <c:order val="4"/>
          <c:tx>
            <c:strRef>
              <c:f>PivotTables!$F$55:$F$56</c:f>
              <c:strCache>
                <c:ptCount val="1"/>
                <c:pt idx="0">
                  <c:v>Machine Learning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6000"/>
                    <a:lumMod val="104000"/>
                  </a:schemeClr>
                </a:gs>
                <a:gs pos="100000">
                  <a:schemeClr val="accent5">
                    <a:shade val="90000"/>
                    <a:lumMod val="9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  <c:invertIfNegative val="0"/>
          <c:cat>
            <c:strRef>
              <c:f>PivotTables!$A$57:$A$63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PivotTables!$F$57:$F$63</c:f>
              <c:numCache>
                <c:formatCode>General</c:formatCode>
                <c:ptCount val="6"/>
                <c:pt idx="1">
                  <c:v>10</c:v>
                </c:pt>
                <c:pt idx="2">
                  <c:v>20</c:v>
                </c:pt>
                <c:pt idx="3">
                  <c:v>22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1A-441B-B3B9-2354EA2E1B76}"/>
            </c:ext>
          </c:extLst>
        </c:ser>
        <c:ser>
          <c:idx val="5"/>
          <c:order val="5"/>
          <c:tx>
            <c:strRef>
              <c:f>PivotTables!$G$55:$G$56</c:f>
              <c:strCache>
                <c:ptCount val="1"/>
                <c:pt idx="0">
                  <c:v>Manager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96000"/>
                    <a:lumMod val="104000"/>
                  </a:schemeClr>
                </a:gs>
                <a:gs pos="100000">
                  <a:schemeClr val="accent6">
                    <a:shade val="90000"/>
                    <a:lumMod val="9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  <c:invertIfNegative val="0"/>
          <c:cat>
            <c:strRef>
              <c:f>PivotTables!$A$57:$A$63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PivotTables!$G$57:$G$63</c:f>
              <c:numCache>
                <c:formatCode>General</c:formatCode>
                <c:ptCount val="6"/>
                <c:pt idx="1">
                  <c:v>6</c:v>
                </c:pt>
                <c:pt idx="2">
                  <c:v>13</c:v>
                </c:pt>
                <c:pt idx="3">
                  <c:v>38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1A-441B-B3B9-2354EA2E1B76}"/>
            </c:ext>
          </c:extLst>
        </c:ser>
        <c:ser>
          <c:idx val="6"/>
          <c:order val="6"/>
          <c:tx>
            <c:strRef>
              <c:f>PivotTables!$H$55:$H$56</c:f>
              <c:strCache>
                <c:ptCount val="1"/>
                <c:pt idx="0">
                  <c:v>Scientist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tint val="96000"/>
                    <a:lumMod val="104000"/>
                  </a:schemeClr>
                </a:gs>
                <a:gs pos="100000">
                  <a:schemeClr val="accent1">
                    <a:lumMod val="60000"/>
                    <a:shade val="90000"/>
                    <a:lumMod val="9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76200" dist="381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 prst="hardEdge"/>
            </a:sp3d>
          </c:spPr>
          <c:invertIfNegative val="0"/>
          <c:cat>
            <c:strRef>
              <c:f>PivotTables!$A$57:$A$63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PivotTables!$H$57:$H$63</c:f>
              <c:numCache>
                <c:formatCode>General</c:formatCode>
                <c:ptCount val="6"/>
                <c:pt idx="1">
                  <c:v>3</c:v>
                </c:pt>
                <c:pt idx="2">
                  <c:v>11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1A-441B-B3B9-2354EA2E1B76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73993119"/>
        <c:axId val="973997695"/>
      </c:barChart>
      <c:catAx>
        <c:axId val="973993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997695"/>
        <c:crosses val="autoZero"/>
        <c:auto val="1"/>
        <c:lblAlgn val="ctr"/>
        <c:lblOffset val="100"/>
        <c:noMultiLvlLbl val="0"/>
      </c:catAx>
      <c:valAx>
        <c:axId val="9739976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993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treemap" uniqueId="{7CC0F8A1-C36C-455B-A609-279385BDC193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1</xdr:row>
      <xdr:rowOff>142875</xdr:rowOff>
    </xdr:from>
    <xdr:to>
      <xdr:col>17</xdr:col>
      <xdr:colOff>123825</xdr:colOff>
      <xdr:row>26</xdr:row>
      <xdr:rowOff>104776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5AD56DC5-EF41-4206-8FC0-E426E3C8E7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96500" y="333375"/>
              <a:ext cx="6591300" cy="47244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1</xdr:row>
      <xdr:rowOff>0</xdr:rowOff>
    </xdr:from>
    <xdr:to>
      <xdr:col>10</xdr:col>
      <xdr:colOff>590550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BDAF8E-52A7-4227-8F13-C682495AC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438150</xdr:colOff>
      <xdr:row>17</xdr:row>
      <xdr:rowOff>19050</xdr:rowOff>
    </xdr:from>
    <xdr:to>
      <xdr:col>11</xdr:col>
      <xdr:colOff>552450</xdr:colOff>
      <xdr:row>31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5CFA53-71FC-573D-26A5-59C285EE27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552450</xdr:colOff>
      <xdr:row>7</xdr:row>
      <xdr:rowOff>38100</xdr:rowOff>
    </xdr:from>
    <xdr:to>
      <xdr:col>18</xdr:col>
      <xdr:colOff>514350</xdr:colOff>
      <xdr:row>21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3124DC-85DB-2AB8-C08F-3AE94F34F2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371475</xdr:colOff>
      <xdr:row>36</xdr:row>
      <xdr:rowOff>38100</xdr:rowOff>
    </xdr:from>
    <xdr:to>
      <xdr:col>14</xdr:col>
      <xdr:colOff>523875</xdr:colOff>
      <xdr:row>50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5968AAE-3A0F-7E87-3721-9F6AE9BA04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381000</xdr:colOff>
      <xdr:row>54</xdr:row>
      <xdr:rowOff>47625</xdr:rowOff>
    </xdr:from>
    <xdr:to>
      <xdr:col>15</xdr:col>
      <xdr:colOff>342900</xdr:colOff>
      <xdr:row>68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9D460E4-57D0-356A-C648-1FC50FAD08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23</xdr:row>
      <xdr:rowOff>38099</xdr:rowOff>
    </xdr:from>
    <xdr:to>
      <xdr:col>20</xdr:col>
      <xdr:colOff>38100</xdr:colOff>
      <xdr:row>39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CB9C24-9801-426C-BAD7-44785CB42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5</xdr:row>
      <xdr:rowOff>9525</xdr:rowOff>
    </xdr:from>
    <xdr:to>
      <xdr:col>19</xdr:col>
      <xdr:colOff>609599</xdr:colOff>
      <xdr:row>20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13D276-2B37-44BE-A6D8-1B319C714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390525</xdr:colOff>
      <xdr:row>28</xdr:row>
      <xdr:rowOff>9525</xdr:rowOff>
    </xdr:from>
    <xdr:to>
      <xdr:col>10</xdr:col>
      <xdr:colOff>190500</xdr:colOff>
      <xdr:row>39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51601C-CC27-4D12-9A3F-E5DA99BA20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390525</xdr:colOff>
      <xdr:row>41</xdr:row>
      <xdr:rowOff>76200</xdr:rowOff>
    </xdr:from>
    <xdr:to>
      <xdr:col>20</xdr:col>
      <xdr:colOff>66675</xdr:colOff>
      <xdr:row>55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1E860AE-01A4-4BBC-85D7-0F7007CD74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400050</xdr:colOff>
      <xdr:row>5</xdr:row>
      <xdr:rowOff>9524</xdr:rowOff>
    </xdr:from>
    <xdr:to>
      <xdr:col>10</xdr:col>
      <xdr:colOff>171450</xdr:colOff>
      <xdr:row>27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DF80F7D-64E6-46C7-B993-B85007FB6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hi jansari" refreshedDate="44802.608947106484" createdVersion="8" refreshedVersion="8" minRefreshableVersion="3" recordCount="607" xr:uid="{2E64B123-1483-4111-9945-FB7FDAE0CFC1}">
  <cacheSource type="worksheet">
    <worksheetSource ref="A1:L608" sheet="WorkingSheet"/>
  </cacheSource>
  <cacheFields count="12">
    <cacheField name="work_year" numFmtId="49">
      <sharedItems containsSemiMixedTypes="0" containsString="0" containsNumber="1" containsInteger="1" minValue="2020" maxValue="2022" count="3">
        <n v="2020"/>
        <n v="2021"/>
        <n v="2022"/>
      </sharedItems>
    </cacheField>
    <cacheField name="Experience" numFmtId="0">
      <sharedItems count="4">
        <s v="Mid level"/>
        <s v="Senior Level"/>
        <s v="Entry Level"/>
        <s v="Expert Level"/>
      </sharedItems>
    </cacheField>
    <cacheField name="experience_level" numFmtId="0">
      <sharedItems count="4">
        <s v="MI"/>
        <s v="SE"/>
        <s v="EN"/>
        <s v="EX"/>
      </sharedItems>
    </cacheField>
    <cacheField name="employment_type" numFmtId="0">
      <sharedItems count="4">
        <s v="Full Time"/>
        <s v="Contract"/>
        <s v="Part Time"/>
        <s v="Freelance"/>
      </sharedItems>
    </cacheField>
    <cacheField name="job_title" numFmtId="0">
      <sharedItems count="50">
        <s v="Data Scientist"/>
        <s v="Machine Learning Scientist"/>
        <s v="Big Data Engineer"/>
        <s v="Product Data Analyst"/>
        <s v="Machine Learning Engineer"/>
        <s v="Data Analyst"/>
        <s v="Lead Data Scientist"/>
        <s v="Business Data Analyst"/>
        <s v="Lead Data Engineer"/>
        <s v="Lead Data Analyst"/>
        <s v="Data Engineer"/>
        <s v="Data Science Consultant"/>
        <s v="BI Data Analyst"/>
        <s v="Director of Data Science"/>
        <s v="Research Scientist"/>
        <s v="Machine Learning Manager"/>
        <s v="Data Engineering Manager"/>
        <s v="Machine Learning Infrastructure Engineer"/>
        <s v="ML Engineer"/>
        <s v="AI Scientist"/>
        <s v="Computer Vision Engineer"/>
        <s v="Principal Data Scientist"/>
        <s v="Data Science Manager"/>
        <s v="Head of Data"/>
        <s v="3D Computer Vision Researcher"/>
        <s v="Data Analytics Engineer"/>
        <s v="Applied Data Scientist"/>
        <s v="Marketing Data Analyst"/>
        <s v="Cloud Data Engineer"/>
        <s v="Financial Data Analyst"/>
        <s v="Computer Vision Software Engineer"/>
        <s v="Director of Data Engineering"/>
        <s v="Data Science Engineer"/>
        <s v="Principal Data Engineer"/>
        <s v="Machine Learning Developer"/>
        <s v="Applied Machine Learning Scientist"/>
        <s v="Data Analytics Manager"/>
        <s v="Head of Data Science"/>
        <s v="Data Specialist"/>
        <s v="Data Architect"/>
        <s v="Finance Data Analyst"/>
        <s v="Principal Data Analyst"/>
        <s v="Big Data Architect"/>
        <s v="Staff Data Scientist"/>
        <s v="Analytics Engineer"/>
        <s v="ETL Developer"/>
        <s v="Head of Machine Learning"/>
        <s v="NLP Engineer"/>
        <s v="Lead Machine Learning Engineer"/>
        <s v="Data Analytics Lead"/>
      </sharedItems>
    </cacheField>
    <cacheField name="salary_in_usd" numFmtId="0">
      <sharedItems containsSemiMixedTypes="0" containsString="0" containsNumber="1" containsInteger="1" minValue="2859" maxValue="600000"/>
    </cacheField>
    <cacheField name="Employee_Country" numFmtId="0">
      <sharedItems count="57">
        <s v="Germany"/>
        <s v="Japan"/>
        <s v="United Kingdom (no new registrations, see also UK)"/>
        <s v="Honduras"/>
        <s v="United States"/>
        <s v="Hungary"/>
        <s v="New Zealand"/>
        <s v="France"/>
        <s v="India"/>
        <s v="Pakistan"/>
        <s v="Poland"/>
        <s v="Portugal"/>
        <s v="People’s Republic of China"/>
        <s v="Greece"/>
        <s v="United Arab Emirates"/>
        <s v="Netherlands"/>
        <s v="Mexico"/>
        <s v="Canada"/>
        <s v="Austria"/>
        <s v="Nigeria"/>
        <s v="Philippines, Republic of the"/>
        <s v="Spain"/>
        <s v="Denmark"/>
        <s v="Russian Federation"/>
        <s v="Italy"/>
        <s v="Croatia (local name: Hrvatska)"/>
        <s v="Bulgaria"/>
        <s v="Singapore"/>
        <s v="Brazil"/>
        <s v="Iraq"/>
        <s v="Viet Nam"/>
        <s v="Belgium"/>
        <s v="Ukraine"/>
        <s v="Malta"/>
        <s v="Chile"/>
        <s v="Romania"/>
        <s v="Iran (Islamic Republic Of)"/>
        <s v="Colombia"/>
        <s v="Moldova, Republic Of"/>
        <s v="Kenya"/>
        <s v="Slovenia"/>
        <s v="Hong Kong"/>
        <s v="Turkey"/>
        <s v="Serbia"/>
        <s v="Puerto Rico"/>
        <s v="Luxembourg"/>
        <s v="Jersey"/>
        <s v="Czech Republic"/>
        <s v="Argentina"/>
        <s v="Algeria"/>
        <s v="Tunisia"/>
        <s v="Malaysia"/>
        <s v="Estonia"/>
        <s v="Australia"/>
        <s v="Bolivia"/>
        <s v="Ireland"/>
        <s v="Switzerland"/>
      </sharedItems>
    </cacheField>
    <cacheField name="employee_residence" numFmtId="0">
      <sharedItems/>
    </cacheField>
    <cacheField name="remote_ratio" numFmtId="0">
      <sharedItems containsSemiMixedTypes="0" containsString="0" containsNumber="1" containsInteger="1" minValue="0" maxValue="100" count="3">
        <n v="0"/>
        <n v="50"/>
        <n v="100"/>
      </sharedItems>
    </cacheField>
    <cacheField name="Company_Country" numFmtId="0">
      <sharedItems count="50">
        <s v="Germany"/>
        <s v="Japan"/>
        <s v="United Kingdom (no new registrations, see also UK)"/>
        <s v="Honduras"/>
        <s v="United States"/>
        <s v="Hungary"/>
        <s v="New Zealand"/>
        <s v="France"/>
        <s v="India"/>
        <s v="Pakistan"/>
        <s v="People’s Republic of China"/>
        <s v="Greece"/>
        <s v="United Arab Emirates"/>
        <s v="Netherlands"/>
        <s v="Mexico"/>
        <s v="Canada"/>
        <s v="Austria"/>
        <s v="Nigeria"/>
        <s v="Spain"/>
        <s v="Portugal"/>
        <s v="Denmark"/>
        <s v="Italy"/>
        <s v="Croatia (local name: Hrvatska)"/>
        <s v="Luxembourg"/>
        <s v="Poland"/>
        <s v="Singapore"/>
        <s v="Romania"/>
        <s v="Iraq"/>
        <s v="Brazil"/>
        <s v="Belgium"/>
        <s v="Ukraine"/>
        <s v="Israel"/>
        <s v="Russian Federation"/>
        <s v="Malta"/>
        <s v="Chile"/>
        <s v="Iran (Islamic Republic Of)"/>
        <s v="Colombia"/>
        <s v="Moldova, Republic Of"/>
        <s v="Kenya"/>
        <s v="Slovenia"/>
        <s v="Switzerland"/>
        <s v="Viet Nam"/>
        <s v="American Samoa"/>
        <s v="Turkey"/>
        <s v="Czech Republic"/>
        <s v="Algeria"/>
        <s v="Estonia"/>
        <s v="Malaysia"/>
        <s v="Australia"/>
        <s v="Ireland"/>
      </sharedItems>
    </cacheField>
    <cacheField name="company_location" numFmtId="0">
      <sharedItems/>
    </cacheField>
    <cacheField name="company_size" numFmtId="0">
      <sharedItems count="3">
        <s v="Large"/>
        <s v="Small"/>
        <s v="Medium"/>
      </sharedItems>
    </cacheField>
  </cacheFields>
  <extLst>
    <ext xmlns:x14="http://schemas.microsoft.com/office/spreadsheetml/2009/9/main" uri="{725AE2AE-9491-48be-B2B4-4EB974FC3084}">
      <x14:pivotCacheDefinition pivotCacheId="60811882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hi jansari" refreshedDate="44802.724382523149" createdVersion="8" refreshedVersion="8" minRefreshableVersion="3" recordCount="608" xr:uid="{911995C8-D394-470A-B796-21288403462D}">
  <cacheSource type="worksheet">
    <worksheetSource ref="A1:L1048576" sheet="WorkingSheet"/>
  </cacheSource>
  <cacheFields count="12">
    <cacheField name="work_year" numFmtId="49">
      <sharedItems containsString="0" containsBlank="1" containsNumber="1" containsInteger="1" minValue="2020" maxValue="2022" count="4">
        <n v="2020"/>
        <n v="2021"/>
        <n v="2022"/>
        <m/>
      </sharedItems>
    </cacheField>
    <cacheField name="Experience" numFmtId="0">
      <sharedItems containsBlank="1"/>
    </cacheField>
    <cacheField name="experience_level" numFmtId="0">
      <sharedItems containsBlank="1"/>
    </cacheField>
    <cacheField name="employment_type" numFmtId="0">
      <sharedItems containsBlank="1"/>
    </cacheField>
    <cacheField name="Category " numFmtId="0">
      <sharedItems containsBlank="1" count="8">
        <s v="Data Scientist"/>
        <s v="Scientist"/>
        <s v="Data Engineer"/>
        <s v="Data Analyst"/>
        <s v="Machine Learning"/>
        <s v="Manager"/>
        <s v="Computer Vision"/>
        <m/>
      </sharedItems>
    </cacheField>
    <cacheField name="job_title" numFmtId="0">
      <sharedItems containsBlank="1" count="51">
        <s v="Data Scientist"/>
        <s v="Machine Learning Scientist"/>
        <s v="Big Data Engineer"/>
        <s v="Product Data Analyst"/>
        <s v="Machine Learning Engineer"/>
        <s v="Data Analyst"/>
        <s v="Lead Data Scientist"/>
        <s v="Business Data Analyst"/>
        <s v="Lead Data Engineer"/>
        <s v="Lead Data Analyst"/>
        <s v="Data Engineer"/>
        <s v="Data Science Consultant"/>
        <s v="BI Data Analyst"/>
        <s v="Director of Data Science"/>
        <s v="Research Scientist"/>
        <s v="Machine Learning Manager"/>
        <s v="Data Engineering Manager"/>
        <s v="Machine Learning Infrastructure Engineer"/>
        <s v="ML Engineer"/>
        <s v="AI Scientist"/>
        <s v="Computer Vision Engineer"/>
        <s v="Principal Data Scientist"/>
        <s v="Data Science Manager"/>
        <s v="Head of Data"/>
        <s v="3D Computer Vision Researcher"/>
        <s v="Data Analytics Engineer"/>
        <s v="Applied Data Scientist"/>
        <s v="Marketing Data Analyst"/>
        <s v="Cloud Data Engineer"/>
        <s v="Financial Data Analyst"/>
        <s v="Computer Vision Software Engineer"/>
        <s v="Director of Data Engineering"/>
        <s v="Data Science Engineer"/>
        <s v="Principal Data Engineer"/>
        <s v="Machine Learning Developer"/>
        <s v="Applied Machine Learning Scientist"/>
        <s v="Data Analytics Manager"/>
        <s v="Head of Data Science"/>
        <s v="Data Specialist"/>
        <s v="Data Architect"/>
        <s v="Finance Data Analyst"/>
        <s v="Principal Data Analyst"/>
        <s v="Big Data Architect"/>
        <s v="Staff Data Scientist"/>
        <s v="Analytics Engineer"/>
        <s v="ETL Developer"/>
        <s v="Head of Machine Learning"/>
        <s v="NLP Engineer"/>
        <s v="Lead Machine Learning Engineer"/>
        <s v="Data Analytics Lead"/>
        <m/>
      </sharedItems>
    </cacheField>
    <cacheField name="salary_in_usd" numFmtId="0">
      <sharedItems containsString="0" containsBlank="1" containsNumber="1" containsInteger="1" minValue="2859" maxValue="600000"/>
    </cacheField>
    <cacheField name="employee_residence" numFmtId="0">
      <sharedItems containsBlank="1"/>
    </cacheField>
    <cacheField name="remote_ratio" numFmtId="0">
      <sharedItems containsString="0" containsBlank="1" containsNumber="1" containsInteger="1" minValue="0" maxValue="100"/>
    </cacheField>
    <cacheField name="company_location" numFmtId="0">
      <sharedItems containsBlank="1"/>
    </cacheField>
    <cacheField name="Region" numFmtId="0">
      <sharedItems containsBlank="1"/>
    </cacheField>
    <cacheField name="company_siz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hi jansari" refreshedDate="44802.784937037039" createdVersion="8" refreshedVersion="8" minRefreshableVersion="3" recordCount="607" xr:uid="{405F0733-E826-42E3-9EEE-215AC62AE00B}">
  <cacheSource type="worksheet">
    <worksheetSource ref="A1:E608" sheet="WorkingSheet"/>
  </cacheSource>
  <cacheFields count="5">
    <cacheField name="work_year" numFmtId="49">
      <sharedItems containsSemiMixedTypes="0" containsString="0" containsNumber="1" containsInteger="1" minValue="2020" maxValue="2022" count="3">
        <n v="2020"/>
        <n v="2021"/>
        <n v="2022"/>
      </sharedItems>
    </cacheField>
    <cacheField name="Experience" numFmtId="0">
      <sharedItems/>
    </cacheField>
    <cacheField name="experience_level" numFmtId="0">
      <sharedItems/>
    </cacheField>
    <cacheField name="employment_type" numFmtId="0">
      <sharedItems/>
    </cacheField>
    <cacheField name="Category " numFmtId="0">
      <sharedItems count="7">
        <s v="Data Scientist"/>
        <s v="Scientist"/>
        <s v="Data Engineer"/>
        <s v="Data Analyst"/>
        <s v="Machine Learning"/>
        <s v="Manager"/>
        <s v="Computer Vis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hi jansari" refreshedDate="44802.814023611114" createdVersion="8" refreshedVersion="8" minRefreshableVersion="3" recordCount="607" xr:uid="{F3BA4BB4-F44E-49A0-947C-E4A7C6B95D1B}">
  <cacheSource type="worksheet">
    <worksheetSource ref="E1:K608" sheet="WorkingSheet"/>
  </cacheSource>
  <cacheFields count="7">
    <cacheField name="Category " numFmtId="0">
      <sharedItems count="7">
        <s v="Data Scientist"/>
        <s v="Scientist"/>
        <s v="Data Engineer"/>
        <s v="Data Analyst"/>
        <s v="Machine Learning"/>
        <s v="Manager"/>
        <s v="Computer Vision"/>
      </sharedItems>
    </cacheField>
    <cacheField name="job_title" numFmtId="0">
      <sharedItems/>
    </cacheField>
    <cacheField name="salary_in_usd" numFmtId="0">
      <sharedItems containsSemiMixedTypes="0" containsString="0" containsNumber="1" containsInteger="1" minValue="2859" maxValue="600000"/>
    </cacheField>
    <cacheField name="employee_residence" numFmtId="0">
      <sharedItems/>
    </cacheField>
    <cacheField name="remote_ratio" numFmtId="0">
      <sharedItems containsSemiMixedTypes="0" containsString="0" containsNumber="1" containsInteger="1" minValue="0" maxValue="100"/>
    </cacheField>
    <cacheField name="company_location" numFmtId="0">
      <sharedItems/>
    </cacheField>
    <cacheField name="Region" numFmtId="0">
      <sharedItems count="6">
        <s v="Europe"/>
        <s v="Asia"/>
        <s v="North America"/>
        <s v="Oceania"/>
        <s v="Africa"/>
        <s v="South Amer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7">
  <r>
    <x v="0"/>
    <x v="0"/>
    <x v="0"/>
    <x v="0"/>
    <x v="0"/>
    <n v="79833"/>
    <x v="0"/>
    <s v="DE"/>
    <x v="0"/>
    <x v="0"/>
    <s v="DE"/>
    <x v="0"/>
  </r>
  <r>
    <x v="0"/>
    <x v="1"/>
    <x v="1"/>
    <x v="0"/>
    <x v="1"/>
    <n v="260000"/>
    <x v="1"/>
    <s v="JP"/>
    <x v="0"/>
    <x v="1"/>
    <s v="JP"/>
    <x v="1"/>
  </r>
  <r>
    <x v="0"/>
    <x v="1"/>
    <x v="1"/>
    <x v="0"/>
    <x v="2"/>
    <n v="109024"/>
    <x v="2"/>
    <s v="GB"/>
    <x v="1"/>
    <x v="2"/>
    <s v="GB"/>
    <x v="2"/>
  </r>
  <r>
    <x v="0"/>
    <x v="0"/>
    <x v="0"/>
    <x v="0"/>
    <x v="3"/>
    <n v="20000"/>
    <x v="3"/>
    <s v="HN"/>
    <x v="0"/>
    <x v="3"/>
    <s v="HN"/>
    <x v="1"/>
  </r>
  <r>
    <x v="0"/>
    <x v="1"/>
    <x v="1"/>
    <x v="0"/>
    <x v="4"/>
    <n v="150000"/>
    <x v="4"/>
    <s v="US"/>
    <x v="1"/>
    <x v="4"/>
    <s v="US"/>
    <x v="0"/>
  </r>
  <r>
    <x v="0"/>
    <x v="2"/>
    <x v="2"/>
    <x v="0"/>
    <x v="5"/>
    <n v="72000"/>
    <x v="4"/>
    <s v="US"/>
    <x v="2"/>
    <x v="4"/>
    <s v="US"/>
    <x v="0"/>
  </r>
  <r>
    <x v="0"/>
    <x v="1"/>
    <x v="1"/>
    <x v="0"/>
    <x v="6"/>
    <n v="190000"/>
    <x v="4"/>
    <s v="US"/>
    <x v="2"/>
    <x v="4"/>
    <s v="US"/>
    <x v="1"/>
  </r>
  <r>
    <x v="0"/>
    <x v="0"/>
    <x v="0"/>
    <x v="0"/>
    <x v="0"/>
    <n v="35735"/>
    <x v="5"/>
    <s v="HU"/>
    <x v="1"/>
    <x v="5"/>
    <s v="HU"/>
    <x v="0"/>
  </r>
  <r>
    <x v="0"/>
    <x v="0"/>
    <x v="0"/>
    <x v="0"/>
    <x v="7"/>
    <n v="135000"/>
    <x v="4"/>
    <s v="US"/>
    <x v="2"/>
    <x v="4"/>
    <s v="US"/>
    <x v="0"/>
  </r>
  <r>
    <x v="0"/>
    <x v="1"/>
    <x v="1"/>
    <x v="0"/>
    <x v="8"/>
    <n v="125000"/>
    <x v="6"/>
    <s v="NZ"/>
    <x v="1"/>
    <x v="6"/>
    <s v="NZ"/>
    <x v="1"/>
  </r>
  <r>
    <x v="0"/>
    <x v="2"/>
    <x v="2"/>
    <x v="0"/>
    <x v="0"/>
    <n v="51321"/>
    <x v="7"/>
    <s v="FR"/>
    <x v="0"/>
    <x v="7"/>
    <s v="FR"/>
    <x v="1"/>
  </r>
  <r>
    <x v="0"/>
    <x v="0"/>
    <x v="0"/>
    <x v="0"/>
    <x v="0"/>
    <n v="40481"/>
    <x v="8"/>
    <s v="IN"/>
    <x v="0"/>
    <x v="8"/>
    <s v="IN"/>
    <x v="0"/>
  </r>
  <r>
    <x v="0"/>
    <x v="2"/>
    <x v="2"/>
    <x v="0"/>
    <x v="0"/>
    <n v="39916"/>
    <x v="7"/>
    <s v="FR"/>
    <x v="0"/>
    <x v="7"/>
    <s v="FR"/>
    <x v="2"/>
  </r>
  <r>
    <x v="0"/>
    <x v="0"/>
    <x v="0"/>
    <x v="0"/>
    <x v="9"/>
    <n v="87000"/>
    <x v="4"/>
    <s v="US"/>
    <x v="2"/>
    <x v="4"/>
    <s v="US"/>
    <x v="0"/>
  </r>
  <r>
    <x v="0"/>
    <x v="0"/>
    <x v="0"/>
    <x v="0"/>
    <x v="5"/>
    <n v="85000"/>
    <x v="4"/>
    <s v="US"/>
    <x v="2"/>
    <x v="4"/>
    <s v="US"/>
    <x v="0"/>
  </r>
  <r>
    <x v="0"/>
    <x v="0"/>
    <x v="0"/>
    <x v="0"/>
    <x v="5"/>
    <n v="8000"/>
    <x v="9"/>
    <s v="PK"/>
    <x v="1"/>
    <x v="9"/>
    <s v="PK"/>
    <x v="0"/>
  </r>
  <r>
    <x v="0"/>
    <x v="2"/>
    <x v="2"/>
    <x v="0"/>
    <x v="10"/>
    <n v="41689"/>
    <x v="1"/>
    <s v="JP"/>
    <x v="2"/>
    <x v="1"/>
    <s v="JP"/>
    <x v="1"/>
  </r>
  <r>
    <x v="0"/>
    <x v="1"/>
    <x v="1"/>
    <x v="0"/>
    <x v="2"/>
    <n v="114047"/>
    <x v="10"/>
    <s v="PL"/>
    <x v="2"/>
    <x v="2"/>
    <s v="GB"/>
    <x v="1"/>
  </r>
  <r>
    <x v="0"/>
    <x v="2"/>
    <x v="2"/>
    <x v="0"/>
    <x v="11"/>
    <n v="5707"/>
    <x v="8"/>
    <s v="IN"/>
    <x v="1"/>
    <x v="8"/>
    <s v="IN"/>
    <x v="2"/>
  </r>
  <r>
    <x v="0"/>
    <x v="0"/>
    <x v="0"/>
    <x v="0"/>
    <x v="8"/>
    <n v="56000"/>
    <x v="11"/>
    <s v="PT"/>
    <x v="2"/>
    <x v="4"/>
    <s v="US"/>
    <x v="2"/>
  </r>
  <r>
    <x v="0"/>
    <x v="0"/>
    <x v="0"/>
    <x v="0"/>
    <x v="4"/>
    <n v="43331"/>
    <x v="12"/>
    <s v="CN"/>
    <x v="0"/>
    <x v="10"/>
    <s v="CN"/>
    <x v="2"/>
  </r>
  <r>
    <x v="0"/>
    <x v="0"/>
    <x v="0"/>
    <x v="0"/>
    <x v="3"/>
    <n v="6072"/>
    <x v="8"/>
    <s v="IN"/>
    <x v="2"/>
    <x v="8"/>
    <s v="IN"/>
    <x v="0"/>
  </r>
  <r>
    <x v="0"/>
    <x v="1"/>
    <x v="1"/>
    <x v="0"/>
    <x v="10"/>
    <n v="47899"/>
    <x v="13"/>
    <s v="GR"/>
    <x v="1"/>
    <x v="11"/>
    <s v="GR"/>
    <x v="0"/>
  </r>
  <r>
    <x v="0"/>
    <x v="0"/>
    <x v="0"/>
    <x v="0"/>
    <x v="12"/>
    <n v="98000"/>
    <x v="4"/>
    <s v="US"/>
    <x v="0"/>
    <x v="4"/>
    <s v="US"/>
    <x v="2"/>
  </r>
  <r>
    <x v="0"/>
    <x v="0"/>
    <x v="0"/>
    <x v="0"/>
    <x v="6"/>
    <n v="115000"/>
    <x v="14"/>
    <s v="AE"/>
    <x v="0"/>
    <x v="12"/>
    <s v="AE"/>
    <x v="0"/>
  </r>
  <r>
    <x v="0"/>
    <x v="3"/>
    <x v="3"/>
    <x v="0"/>
    <x v="13"/>
    <n v="325000"/>
    <x v="4"/>
    <s v="US"/>
    <x v="2"/>
    <x v="4"/>
    <s v="US"/>
    <x v="0"/>
  </r>
  <r>
    <x v="0"/>
    <x v="2"/>
    <x v="2"/>
    <x v="0"/>
    <x v="14"/>
    <n v="42000"/>
    <x v="15"/>
    <s v="NL"/>
    <x v="1"/>
    <x v="13"/>
    <s v="NL"/>
    <x v="0"/>
  </r>
  <r>
    <x v="0"/>
    <x v="1"/>
    <x v="1"/>
    <x v="0"/>
    <x v="10"/>
    <n v="33511"/>
    <x v="16"/>
    <s v="MX"/>
    <x v="0"/>
    <x v="14"/>
    <s v="MX"/>
    <x v="1"/>
  </r>
  <r>
    <x v="0"/>
    <x v="2"/>
    <x v="2"/>
    <x v="1"/>
    <x v="7"/>
    <n v="100000"/>
    <x v="4"/>
    <s v="US"/>
    <x v="2"/>
    <x v="4"/>
    <s v="US"/>
    <x v="0"/>
  </r>
  <r>
    <x v="0"/>
    <x v="1"/>
    <x v="1"/>
    <x v="0"/>
    <x v="15"/>
    <n v="117104"/>
    <x v="17"/>
    <s v="CA"/>
    <x v="1"/>
    <x v="15"/>
    <s v="CA"/>
    <x v="0"/>
  </r>
  <r>
    <x v="0"/>
    <x v="0"/>
    <x v="0"/>
    <x v="0"/>
    <x v="16"/>
    <n v="59303"/>
    <x v="0"/>
    <s v="DE"/>
    <x v="2"/>
    <x v="0"/>
    <s v="DE"/>
    <x v="1"/>
  </r>
  <r>
    <x v="0"/>
    <x v="2"/>
    <x v="2"/>
    <x v="0"/>
    <x v="2"/>
    <n v="70000"/>
    <x v="4"/>
    <s v="US"/>
    <x v="2"/>
    <x v="4"/>
    <s v="US"/>
    <x v="0"/>
  </r>
  <r>
    <x v="0"/>
    <x v="1"/>
    <x v="1"/>
    <x v="0"/>
    <x v="0"/>
    <n v="68428"/>
    <x v="13"/>
    <s v="GR"/>
    <x v="2"/>
    <x v="4"/>
    <s v="US"/>
    <x v="0"/>
  </r>
  <r>
    <x v="0"/>
    <x v="0"/>
    <x v="0"/>
    <x v="0"/>
    <x v="14"/>
    <n v="450000"/>
    <x v="4"/>
    <s v="US"/>
    <x v="0"/>
    <x v="4"/>
    <s v="US"/>
    <x v="2"/>
  </r>
  <r>
    <x v="0"/>
    <x v="0"/>
    <x v="0"/>
    <x v="0"/>
    <x v="5"/>
    <n v="46759"/>
    <x v="7"/>
    <s v="FR"/>
    <x v="1"/>
    <x v="7"/>
    <s v="FR"/>
    <x v="0"/>
  </r>
  <r>
    <x v="0"/>
    <x v="0"/>
    <x v="0"/>
    <x v="0"/>
    <x v="10"/>
    <n v="74130"/>
    <x v="18"/>
    <s v="AT"/>
    <x v="1"/>
    <x v="16"/>
    <s v="AT"/>
    <x v="0"/>
  </r>
  <r>
    <x v="0"/>
    <x v="0"/>
    <x v="0"/>
    <x v="0"/>
    <x v="11"/>
    <n v="103000"/>
    <x v="4"/>
    <s v="US"/>
    <x v="2"/>
    <x v="4"/>
    <s v="US"/>
    <x v="0"/>
  </r>
  <r>
    <x v="0"/>
    <x v="2"/>
    <x v="2"/>
    <x v="0"/>
    <x v="4"/>
    <n v="250000"/>
    <x v="4"/>
    <s v="US"/>
    <x v="1"/>
    <x v="4"/>
    <s v="US"/>
    <x v="0"/>
  </r>
  <r>
    <x v="0"/>
    <x v="2"/>
    <x v="2"/>
    <x v="0"/>
    <x v="5"/>
    <n v="10000"/>
    <x v="19"/>
    <s v="NG"/>
    <x v="2"/>
    <x v="17"/>
    <s v="NG"/>
    <x v="1"/>
  </r>
  <r>
    <x v="0"/>
    <x v="2"/>
    <x v="2"/>
    <x v="0"/>
    <x v="4"/>
    <n v="138000"/>
    <x v="4"/>
    <s v="US"/>
    <x v="2"/>
    <x v="4"/>
    <s v="US"/>
    <x v="1"/>
  </r>
  <r>
    <x v="0"/>
    <x v="0"/>
    <x v="0"/>
    <x v="0"/>
    <x v="0"/>
    <n v="45760"/>
    <x v="20"/>
    <s v="PH"/>
    <x v="2"/>
    <x v="4"/>
    <s v="US"/>
    <x v="1"/>
  </r>
  <r>
    <x v="0"/>
    <x v="3"/>
    <x v="3"/>
    <x v="0"/>
    <x v="16"/>
    <n v="79833"/>
    <x v="21"/>
    <s v="ES"/>
    <x v="1"/>
    <x v="18"/>
    <s v="ES"/>
    <x v="0"/>
  </r>
  <r>
    <x v="0"/>
    <x v="0"/>
    <x v="0"/>
    <x v="0"/>
    <x v="17"/>
    <n v="50180"/>
    <x v="11"/>
    <s v="PT"/>
    <x v="0"/>
    <x v="19"/>
    <s v="PT"/>
    <x v="2"/>
  </r>
  <r>
    <x v="0"/>
    <x v="0"/>
    <x v="0"/>
    <x v="0"/>
    <x v="10"/>
    <n v="106000"/>
    <x v="4"/>
    <s v="US"/>
    <x v="2"/>
    <x v="4"/>
    <s v="US"/>
    <x v="0"/>
  </r>
  <r>
    <x v="0"/>
    <x v="0"/>
    <x v="0"/>
    <x v="0"/>
    <x v="10"/>
    <n v="112872"/>
    <x v="2"/>
    <s v="GB"/>
    <x v="1"/>
    <x v="2"/>
    <s v="GB"/>
    <x v="0"/>
  </r>
  <r>
    <x v="0"/>
    <x v="2"/>
    <x v="2"/>
    <x v="2"/>
    <x v="18"/>
    <n v="15966"/>
    <x v="0"/>
    <s v="DE"/>
    <x v="2"/>
    <x v="0"/>
    <s v="DE"/>
    <x v="1"/>
  </r>
  <r>
    <x v="0"/>
    <x v="0"/>
    <x v="0"/>
    <x v="0"/>
    <x v="0"/>
    <n v="76958"/>
    <x v="2"/>
    <s v="GB"/>
    <x v="2"/>
    <x v="2"/>
    <s v="GB"/>
    <x v="1"/>
  </r>
  <r>
    <x v="0"/>
    <x v="1"/>
    <x v="1"/>
    <x v="0"/>
    <x v="10"/>
    <n v="188000"/>
    <x v="4"/>
    <s v="US"/>
    <x v="2"/>
    <x v="4"/>
    <s v="US"/>
    <x v="0"/>
  </r>
  <r>
    <x v="0"/>
    <x v="0"/>
    <x v="0"/>
    <x v="0"/>
    <x v="0"/>
    <n v="105000"/>
    <x v="4"/>
    <s v="US"/>
    <x v="2"/>
    <x v="4"/>
    <s v="US"/>
    <x v="0"/>
  </r>
  <r>
    <x v="0"/>
    <x v="0"/>
    <x v="0"/>
    <x v="0"/>
    <x v="10"/>
    <n v="70139"/>
    <x v="7"/>
    <s v="FR"/>
    <x v="1"/>
    <x v="7"/>
    <s v="FR"/>
    <x v="0"/>
  </r>
  <r>
    <x v="0"/>
    <x v="2"/>
    <x v="2"/>
    <x v="0"/>
    <x v="5"/>
    <n v="6072"/>
    <x v="8"/>
    <s v="IN"/>
    <x v="0"/>
    <x v="8"/>
    <s v="IN"/>
    <x v="1"/>
  </r>
  <r>
    <x v="0"/>
    <x v="2"/>
    <x v="2"/>
    <x v="0"/>
    <x v="5"/>
    <n v="91000"/>
    <x v="4"/>
    <s v="US"/>
    <x v="2"/>
    <x v="4"/>
    <s v="US"/>
    <x v="0"/>
  </r>
  <r>
    <x v="0"/>
    <x v="2"/>
    <x v="2"/>
    <x v="0"/>
    <x v="19"/>
    <n v="45896"/>
    <x v="22"/>
    <s v="DK"/>
    <x v="1"/>
    <x v="20"/>
    <s v="DK"/>
    <x v="1"/>
  </r>
  <r>
    <x v="0"/>
    <x v="2"/>
    <x v="2"/>
    <x v="0"/>
    <x v="10"/>
    <n v="54742"/>
    <x v="9"/>
    <s v="PK"/>
    <x v="2"/>
    <x v="0"/>
    <s v="DE"/>
    <x v="0"/>
  </r>
  <r>
    <x v="0"/>
    <x v="1"/>
    <x v="1"/>
    <x v="3"/>
    <x v="20"/>
    <n v="60000"/>
    <x v="23"/>
    <s v="RU"/>
    <x v="2"/>
    <x v="4"/>
    <s v="US"/>
    <x v="1"/>
  </r>
  <r>
    <x v="0"/>
    <x v="1"/>
    <x v="1"/>
    <x v="0"/>
    <x v="21"/>
    <n v="148261"/>
    <x v="0"/>
    <s v="DE"/>
    <x v="2"/>
    <x v="0"/>
    <s v="DE"/>
    <x v="2"/>
  </r>
  <r>
    <x v="0"/>
    <x v="0"/>
    <x v="0"/>
    <x v="0"/>
    <x v="0"/>
    <n v="38776"/>
    <x v="21"/>
    <s v="ES"/>
    <x v="2"/>
    <x v="18"/>
    <s v="ES"/>
    <x v="2"/>
  </r>
  <r>
    <x v="0"/>
    <x v="0"/>
    <x v="0"/>
    <x v="0"/>
    <x v="0"/>
    <n v="118000"/>
    <x v="4"/>
    <s v="US"/>
    <x v="2"/>
    <x v="4"/>
    <s v="US"/>
    <x v="2"/>
  </r>
  <r>
    <x v="0"/>
    <x v="1"/>
    <x v="1"/>
    <x v="0"/>
    <x v="0"/>
    <n v="120000"/>
    <x v="4"/>
    <s v="US"/>
    <x v="1"/>
    <x v="4"/>
    <s v="US"/>
    <x v="0"/>
  </r>
  <r>
    <x v="0"/>
    <x v="0"/>
    <x v="0"/>
    <x v="0"/>
    <x v="0"/>
    <n v="138350"/>
    <x v="4"/>
    <s v="US"/>
    <x v="2"/>
    <x v="4"/>
    <s v="US"/>
    <x v="2"/>
  </r>
  <r>
    <x v="0"/>
    <x v="0"/>
    <x v="0"/>
    <x v="0"/>
    <x v="10"/>
    <n v="110000"/>
    <x v="4"/>
    <s v="US"/>
    <x v="2"/>
    <x v="4"/>
    <s v="US"/>
    <x v="0"/>
  </r>
  <r>
    <x v="0"/>
    <x v="0"/>
    <x v="0"/>
    <x v="0"/>
    <x v="10"/>
    <n v="130800"/>
    <x v="21"/>
    <s v="ES"/>
    <x v="2"/>
    <x v="4"/>
    <s v="US"/>
    <x v="2"/>
  </r>
  <r>
    <x v="0"/>
    <x v="2"/>
    <x v="2"/>
    <x v="2"/>
    <x v="0"/>
    <n v="21669"/>
    <x v="24"/>
    <s v="IT"/>
    <x v="1"/>
    <x v="21"/>
    <s v="IT"/>
    <x v="1"/>
  </r>
  <r>
    <x v="0"/>
    <x v="1"/>
    <x v="1"/>
    <x v="0"/>
    <x v="0"/>
    <n v="412000"/>
    <x v="4"/>
    <s v="US"/>
    <x v="2"/>
    <x v="4"/>
    <s v="US"/>
    <x v="0"/>
  </r>
  <r>
    <x v="0"/>
    <x v="1"/>
    <x v="1"/>
    <x v="0"/>
    <x v="4"/>
    <n v="45618"/>
    <x v="25"/>
    <s v="HR"/>
    <x v="2"/>
    <x v="22"/>
    <s v="HR"/>
    <x v="1"/>
  </r>
  <r>
    <x v="0"/>
    <x v="2"/>
    <x v="2"/>
    <x v="0"/>
    <x v="0"/>
    <n v="62726"/>
    <x v="0"/>
    <s v="DE"/>
    <x v="1"/>
    <x v="0"/>
    <s v="DE"/>
    <x v="1"/>
  </r>
  <r>
    <x v="0"/>
    <x v="2"/>
    <x v="2"/>
    <x v="0"/>
    <x v="0"/>
    <n v="49268"/>
    <x v="0"/>
    <s v="DE"/>
    <x v="0"/>
    <x v="0"/>
    <s v="DE"/>
    <x v="1"/>
  </r>
  <r>
    <x v="0"/>
    <x v="1"/>
    <x v="1"/>
    <x v="0"/>
    <x v="22"/>
    <n v="190200"/>
    <x v="4"/>
    <s v="US"/>
    <x v="2"/>
    <x v="4"/>
    <s v="US"/>
    <x v="2"/>
  </r>
  <r>
    <x v="0"/>
    <x v="2"/>
    <x v="2"/>
    <x v="0"/>
    <x v="0"/>
    <n v="105000"/>
    <x v="4"/>
    <s v="US"/>
    <x v="2"/>
    <x v="4"/>
    <s v="US"/>
    <x v="1"/>
  </r>
  <r>
    <x v="0"/>
    <x v="1"/>
    <x v="1"/>
    <x v="0"/>
    <x v="0"/>
    <n v="91237"/>
    <x v="18"/>
    <s v="AT"/>
    <x v="0"/>
    <x v="16"/>
    <s v="AT"/>
    <x v="1"/>
  </r>
  <r>
    <x v="0"/>
    <x v="0"/>
    <x v="0"/>
    <x v="0"/>
    <x v="0"/>
    <n v="62726"/>
    <x v="7"/>
    <s v="FR"/>
    <x v="1"/>
    <x v="23"/>
    <s v="LU"/>
    <x v="1"/>
  </r>
  <r>
    <x v="0"/>
    <x v="0"/>
    <x v="0"/>
    <x v="0"/>
    <x v="0"/>
    <n v="42197"/>
    <x v="7"/>
    <s v="FR"/>
    <x v="1"/>
    <x v="7"/>
    <s v="FR"/>
    <x v="1"/>
  </r>
  <r>
    <x v="1"/>
    <x v="2"/>
    <x v="2"/>
    <x v="0"/>
    <x v="14"/>
    <n v="82528"/>
    <x v="2"/>
    <s v="GB"/>
    <x v="1"/>
    <x v="2"/>
    <s v="GB"/>
    <x v="0"/>
  </r>
  <r>
    <x v="1"/>
    <x v="3"/>
    <x v="3"/>
    <x v="0"/>
    <x v="12"/>
    <n v="150000"/>
    <x v="8"/>
    <s v="IN"/>
    <x v="2"/>
    <x v="4"/>
    <s v="US"/>
    <x v="0"/>
  </r>
  <r>
    <x v="1"/>
    <x v="3"/>
    <x v="3"/>
    <x v="0"/>
    <x v="23"/>
    <n v="235000"/>
    <x v="4"/>
    <s v="US"/>
    <x v="2"/>
    <x v="4"/>
    <s v="US"/>
    <x v="0"/>
  </r>
  <r>
    <x v="1"/>
    <x v="1"/>
    <x v="1"/>
    <x v="0"/>
    <x v="0"/>
    <n v="53192"/>
    <x v="7"/>
    <s v="FR"/>
    <x v="1"/>
    <x v="7"/>
    <s v="FR"/>
    <x v="0"/>
  </r>
  <r>
    <x v="1"/>
    <x v="0"/>
    <x v="0"/>
    <x v="0"/>
    <x v="12"/>
    <n v="100000"/>
    <x v="4"/>
    <s v="US"/>
    <x v="2"/>
    <x v="4"/>
    <s v="US"/>
    <x v="2"/>
  </r>
  <r>
    <x v="1"/>
    <x v="0"/>
    <x v="0"/>
    <x v="2"/>
    <x v="24"/>
    <n v="5409"/>
    <x v="8"/>
    <s v="IN"/>
    <x v="1"/>
    <x v="8"/>
    <s v="IN"/>
    <x v="2"/>
  </r>
  <r>
    <x v="1"/>
    <x v="0"/>
    <x v="0"/>
    <x v="1"/>
    <x v="18"/>
    <n v="270000"/>
    <x v="4"/>
    <s v="US"/>
    <x v="2"/>
    <x v="4"/>
    <s v="US"/>
    <x v="0"/>
  </r>
  <r>
    <x v="1"/>
    <x v="2"/>
    <x v="2"/>
    <x v="0"/>
    <x v="5"/>
    <n v="80000"/>
    <x v="4"/>
    <s v="US"/>
    <x v="2"/>
    <x v="4"/>
    <s v="US"/>
    <x v="2"/>
  </r>
  <r>
    <x v="1"/>
    <x v="1"/>
    <x v="1"/>
    <x v="0"/>
    <x v="25"/>
    <n v="79197"/>
    <x v="0"/>
    <s v="DE"/>
    <x v="2"/>
    <x v="0"/>
    <s v="DE"/>
    <x v="0"/>
  </r>
  <r>
    <x v="1"/>
    <x v="0"/>
    <x v="0"/>
    <x v="0"/>
    <x v="10"/>
    <n v="140000"/>
    <x v="4"/>
    <s v="US"/>
    <x v="2"/>
    <x v="4"/>
    <s v="US"/>
    <x v="0"/>
  </r>
  <r>
    <x v="1"/>
    <x v="0"/>
    <x v="0"/>
    <x v="0"/>
    <x v="26"/>
    <n v="54238"/>
    <x v="2"/>
    <s v="GB"/>
    <x v="1"/>
    <x v="15"/>
    <s v="CA"/>
    <x v="0"/>
  </r>
  <r>
    <x v="1"/>
    <x v="0"/>
    <x v="0"/>
    <x v="0"/>
    <x v="4"/>
    <n v="47282"/>
    <x v="21"/>
    <s v="ES"/>
    <x v="2"/>
    <x v="18"/>
    <s v="ES"/>
    <x v="1"/>
  </r>
  <r>
    <x v="1"/>
    <x v="3"/>
    <x v="3"/>
    <x v="0"/>
    <x v="13"/>
    <n v="153667"/>
    <x v="24"/>
    <s v="IT"/>
    <x v="2"/>
    <x v="24"/>
    <s v="PL"/>
    <x v="0"/>
  </r>
  <r>
    <x v="1"/>
    <x v="0"/>
    <x v="0"/>
    <x v="0"/>
    <x v="10"/>
    <n v="28476"/>
    <x v="10"/>
    <s v="PL"/>
    <x v="2"/>
    <x v="24"/>
    <s v="PL"/>
    <x v="0"/>
  </r>
  <r>
    <x v="1"/>
    <x v="2"/>
    <x v="2"/>
    <x v="0"/>
    <x v="5"/>
    <n v="59102"/>
    <x v="7"/>
    <s v="FR"/>
    <x v="1"/>
    <x v="7"/>
    <s v="FR"/>
    <x v="2"/>
  </r>
  <r>
    <x v="1"/>
    <x v="0"/>
    <x v="0"/>
    <x v="0"/>
    <x v="25"/>
    <n v="110000"/>
    <x v="4"/>
    <s v="US"/>
    <x v="2"/>
    <x v="4"/>
    <s v="US"/>
    <x v="0"/>
  </r>
  <r>
    <x v="1"/>
    <x v="1"/>
    <x v="1"/>
    <x v="0"/>
    <x v="9"/>
    <n v="170000"/>
    <x v="4"/>
    <s v="US"/>
    <x v="2"/>
    <x v="4"/>
    <s v="US"/>
    <x v="0"/>
  </r>
  <r>
    <x v="1"/>
    <x v="1"/>
    <x v="1"/>
    <x v="0"/>
    <x v="5"/>
    <n v="80000"/>
    <x v="26"/>
    <s v="BG"/>
    <x v="2"/>
    <x v="4"/>
    <s v="US"/>
    <x v="1"/>
  </r>
  <r>
    <x v="1"/>
    <x v="1"/>
    <x v="1"/>
    <x v="0"/>
    <x v="27"/>
    <n v="88654"/>
    <x v="13"/>
    <s v="GR"/>
    <x v="2"/>
    <x v="20"/>
    <s v="DK"/>
    <x v="0"/>
  </r>
  <r>
    <x v="1"/>
    <x v="2"/>
    <x v="2"/>
    <x v="0"/>
    <x v="11"/>
    <n v="76833"/>
    <x v="0"/>
    <s v="DE"/>
    <x v="2"/>
    <x v="0"/>
    <s v="DE"/>
    <x v="1"/>
  </r>
  <r>
    <x v="1"/>
    <x v="0"/>
    <x v="0"/>
    <x v="0"/>
    <x v="9"/>
    <n v="19609"/>
    <x v="8"/>
    <s v="IN"/>
    <x v="2"/>
    <x v="8"/>
    <s v="IN"/>
    <x v="0"/>
  </r>
  <r>
    <x v="1"/>
    <x v="1"/>
    <x v="1"/>
    <x v="0"/>
    <x v="8"/>
    <n v="276000"/>
    <x v="4"/>
    <s v="US"/>
    <x v="0"/>
    <x v="4"/>
    <s v="US"/>
    <x v="0"/>
  </r>
  <r>
    <x v="1"/>
    <x v="2"/>
    <x v="2"/>
    <x v="0"/>
    <x v="0"/>
    <n v="29751"/>
    <x v="8"/>
    <s v="IN"/>
    <x v="1"/>
    <x v="8"/>
    <s v="IN"/>
    <x v="0"/>
  </r>
  <r>
    <x v="1"/>
    <x v="0"/>
    <x v="0"/>
    <x v="0"/>
    <x v="28"/>
    <n v="89294"/>
    <x v="27"/>
    <s v="SG"/>
    <x v="1"/>
    <x v="25"/>
    <s v="SG"/>
    <x v="0"/>
  </r>
  <r>
    <x v="1"/>
    <x v="2"/>
    <x v="2"/>
    <x v="2"/>
    <x v="19"/>
    <n v="12000"/>
    <x v="28"/>
    <s v="BR"/>
    <x v="2"/>
    <x v="4"/>
    <s v="US"/>
    <x v="1"/>
  </r>
  <r>
    <x v="1"/>
    <x v="0"/>
    <x v="0"/>
    <x v="0"/>
    <x v="29"/>
    <n v="450000"/>
    <x v="4"/>
    <s v="US"/>
    <x v="2"/>
    <x v="4"/>
    <s v="US"/>
    <x v="0"/>
  </r>
  <r>
    <x v="1"/>
    <x v="2"/>
    <x v="2"/>
    <x v="0"/>
    <x v="30"/>
    <n v="70000"/>
    <x v="4"/>
    <s v="US"/>
    <x v="2"/>
    <x v="4"/>
    <s v="US"/>
    <x v="2"/>
  </r>
  <r>
    <x v="1"/>
    <x v="0"/>
    <x v="0"/>
    <x v="0"/>
    <x v="30"/>
    <n v="95746"/>
    <x v="0"/>
    <s v="DE"/>
    <x v="2"/>
    <x v="4"/>
    <s v="US"/>
    <x v="1"/>
  </r>
  <r>
    <x v="1"/>
    <x v="0"/>
    <x v="0"/>
    <x v="0"/>
    <x v="5"/>
    <n v="75000"/>
    <x v="4"/>
    <s v="US"/>
    <x v="0"/>
    <x v="4"/>
    <s v="US"/>
    <x v="0"/>
  </r>
  <r>
    <x v="1"/>
    <x v="1"/>
    <x v="1"/>
    <x v="0"/>
    <x v="10"/>
    <n v="150000"/>
    <x v="4"/>
    <s v="US"/>
    <x v="2"/>
    <x v="4"/>
    <s v="US"/>
    <x v="0"/>
  </r>
  <r>
    <x v="1"/>
    <x v="0"/>
    <x v="0"/>
    <x v="0"/>
    <x v="12"/>
    <n v="36259"/>
    <x v="5"/>
    <s v="HU"/>
    <x v="1"/>
    <x v="4"/>
    <s v="US"/>
    <x v="0"/>
  </r>
  <r>
    <x v="1"/>
    <x v="0"/>
    <x v="0"/>
    <x v="0"/>
    <x v="5"/>
    <n v="62000"/>
    <x v="4"/>
    <s v="US"/>
    <x v="0"/>
    <x v="4"/>
    <s v="US"/>
    <x v="0"/>
  </r>
  <r>
    <x v="1"/>
    <x v="0"/>
    <x v="0"/>
    <x v="0"/>
    <x v="0"/>
    <n v="73000"/>
    <x v="4"/>
    <s v="US"/>
    <x v="0"/>
    <x v="4"/>
    <s v="US"/>
    <x v="0"/>
  </r>
  <r>
    <x v="1"/>
    <x v="0"/>
    <x v="0"/>
    <x v="0"/>
    <x v="5"/>
    <n v="51519"/>
    <x v="2"/>
    <s v="GB"/>
    <x v="1"/>
    <x v="2"/>
    <s v="GB"/>
    <x v="0"/>
  </r>
  <r>
    <x v="1"/>
    <x v="0"/>
    <x v="0"/>
    <x v="0"/>
    <x v="14"/>
    <n v="187442"/>
    <x v="17"/>
    <s v="CA"/>
    <x v="2"/>
    <x v="15"/>
    <s v="CA"/>
    <x v="0"/>
  </r>
  <r>
    <x v="1"/>
    <x v="1"/>
    <x v="1"/>
    <x v="0"/>
    <x v="10"/>
    <n v="115000"/>
    <x v="4"/>
    <s v="US"/>
    <x v="2"/>
    <x v="4"/>
    <s v="US"/>
    <x v="1"/>
  </r>
  <r>
    <x v="1"/>
    <x v="1"/>
    <x v="1"/>
    <x v="0"/>
    <x v="10"/>
    <n v="150000"/>
    <x v="4"/>
    <s v="US"/>
    <x v="2"/>
    <x v="4"/>
    <s v="US"/>
    <x v="2"/>
  </r>
  <r>
    <x v="1"/>
    <x v="2"/>
    <x v="2"/>
    <x v="0"/>
    <x v="10"/>
    <n v="30428"/>
    <x v="8"/>
    <s v="IN"/>
    <x v="2"/>
    <x v="8"/>
    <s v="IN"/>
    <x v="0"/>
  </r>
  <r>
    <x v="1"/>
    <x v="1"/>
    <x v="1"/>
    <x v="0"/>
    <x v="4"/>
    <n v="94564"/>
    <x v="0"/>
    <s v="DE"/>
    <x v="1"/>
    <x v="0"/>
    <s v="DE"/>
    <x v="0"/>
  </r>
  <r>
    <x v="1"/>
    <x v="1"/>
    <x v="1"/>
    <x v="0"/>
    <x v="31"/>
    <n v="113476"/>
    <x v="2"/>
    <s v="GB"/>
    <x v="2"/>
    <x v="2"/>
    <s v="GB"/>
    <x v="2"/>
  </r>
  <r>
    <x v="1"/>
    <x v="1"/>
    <x v="1"/>
    <x v="0"/>
    <x v="8"/>
    <n v="103160"/>
    <x v="2"/>
    <s v="GB"/>
    <x v="2"/>
    <x v="2"/>
    <s v="GB"/>
    <x v="1"/>
  </r>
  <r>
    <x v="1"/>
    <x v="2"/>
    <x v="2"/>
    <x v="2"/>
    <x v="19"/>
    <n v="12000"/>
    <x v="9"/>
    <s v="PK"/>
    <x v="2"/>
    <x v="4"/>
    <s v="US"/>
    <x v="2"/>
  </r>
  <r>
    <x v="1"/>
    <x v="0"/>
    <x v="0"/>
    <x v="0"/>
    <x v="10"/>
    <n v="45391"/>
    <x v="15"/>
    <s v="NL"/>
    <x v="2"/>
    <x v="13"/>
    <s v="NL"/>
    <x v="0"/>
  </r>
  <r>
    <x v="1"/>
    <x v="2"/>
    <x v="2"/>
    <x v="0"/>
    <x v="1"/>
    <n v="225000"/>
    <x v="4"/>
    <s v="US"/>
    <x v="2"/>
    <x v="4"/>
    <s v="US"/>
    <x v="0"/>
  </r>
  <r>
    <x v="1"/>
    <x v="0"/>
    <x v="0"/>
    <x v="0"/>
    <x v="0"/>
    <n v="50000"/>
    <x v="19"/>
    <s v="NG"/>
    <x v="2"/>
    <x v="17"/>
    <s v="NG"/>
    <x v="0"/>
  </r>
  <r>
    <x v="1"/>
    <x v="0"/>
    <x v="0"/>
    <x v="0"/>
    <x v="32"/>
    <n v="40189"/>
    <x v="13"/>
    <s v="GR"/>
    <x v="2"/>
    <x v="11"/>
    <s v="GR"/>
    <x v="2"/>
  </r>
  <r>
    <x v="1"/>
    <x v="2"/>
    <x v="2"/>
    <x v="0"/>
    <x v="5"/>
    <n v="90000"/>
    <x v="4"/>
    <s v="US"/>
    <x v="2"/>
    <x v="4"/>
    <s v="US"/>
    <x v="1"/>
  </r>
  <r>
    <x v="1"/>
    <x v="0"/>
    <x v="0"/>
    <x v="0"/>
    <x v="10"/>
    <n v="200000"/>
    <x v="4"/>
    <s v="US"/>
    <x v="2"/>
    <x v="4"/>
    <s v="US"/>
    <x v="0"/>
  </r>
  <r>
    <x v="1"/>
    <x v="0"/>
    <x v="0"/>
    <x v="0"/>
    <x v="2"/>
    <n v="60000"/>
    <x v="21"/>
    <s v="ES"/>
    <x v="1"/>
    <x v="26"/>
    <s v="RO"/>
    <x v="2"/>
  </r>
  <r>
    <x v="1"/>
    <x v="1"/>
    <x v="1"/>
    <x v="0"/>
    <x v="33"/>
    <n v="200000"/>
    <x v="4"/>
    <s v="US"/>
    <x v="2"/>
    <x v="4"/>
    <s v="US"/>
    <x v="2"/>
  </r>
  <r>
    <x v="1"/>
    <x v="2"/>
    <x v="2"/>
    <x v="0"/>
    <x v="5"/>
    <n v="50000"/>
    <x v="4"/>
    <s v="US"/>
    <x v="2"/>
    <x v="4"/>
    <s v="US"/>
    <x v="2"/>
  </r>
  <r>
    <x v="1"/>
    <x v="2"/>
    <x v="2"/>
    <x v="0"/>
    <x v="26"/>
    <n v="110037"/>
    <x v="2"/>
    <s v="GB"/>
    <x v="0"/>
    <x v="2"/>
    <s v="GB"/>
    <x v="0"/>
  </r>
  <r>
    <x v="1"/>
    <x v="2"/>
    <x v="2"/>
    <x v="2"/>
    <x v="5"/>
    <n v="10354"/>
    <x v="21"/>
    <s v="ES"/>
    <x v="1"/>
    <x v="18"/>
    <s v="ES"/>
    <x v="2"/>
  </r>
  <r>
    <x v="1"/>
    <x v="0"/>
    <x v="0"/>
    <x v="0"/>
    <x v="21"/>
    <n v="151000"/>
    <x v="4"/>
    <s v="US"/>
    <x v="2"/>
    <x v="4"/>
    <s v="US"/>
    <x v="0"/>
  </r>
  <r>
    <x v="1"/>
    <x v="1"/>
    <x v="1"/>
    <x v="0"/>
    <x v="1"/>
    <n v="120000"/>
    <x v="4"/>
    <s v="US"/>
    <x v="1"/>
    <x v="4"/>
    <s v="US"/>
    <x v="1"/>
  </r>
  <r>
    <x v="1"/>
    <x v="0"/>
    <x v="0"/>
    <x v="0"/>
    <x v="0"/>
    <n v="9466"/>
    <x v="8"/>
    <s v="IN"/>
    <x v="0"/>
    <x v="8"/>
    <s v="IN"/>
    <x v="1"/>
  </r>
  <r>
    <x v="1"/>
    <x v="2"/>
    <x v="2"/>
    <x v="0"/>
    <x v="4"/>
    <n v="20000"/>
    <x v="8"/>
    <s v="IN"/>
    <x v="2"/>
    <x v="8"/>
    <s v="IN"/>
    <x v="1"/>
  </r>
  <r>
    <x v="1"/>
    <x v="1"/>
    <x v="1"/>
    <x v="0"/>
    <x v="6"/>
    <n v="40570"/>
    <x v="8"/>
    <s v="IN"/>
    <x v="1"/>
    <x v="8"/>
    <s v="IN"/>
    <x v="0"/>
  </r>
  <r>
    <x v="1"/>
    <x v="2"/>
    <x v="2"/>
    <x v="0"/>
    <x v="34"/>
    <n v="100000"/>
    <x v="29"/>
    <s v="IQ"/>
    <x v="1"/>
    <x v="27"/>
    <s v="IQ"/>
    <x v="1"/>
  </r>
  <r>
    <x v="1"/>
    <x v="2"/>
    <x v="2"/>
    <x v="0"/>
    <x v="0"/>
    <n v="49646"/>
    <x v="7"/>
    <s v="FR"/>
    <x v="1"/>
    <x v="7"/>
    <s v="FR"/>
    <x v="2"/>
  </r>
  <r>
    <x v="1"/>
    <x v="0"/>
    <x v="0"/>
    <x v="0"/>
    <x v="35"/>
    <n v="38400"/>
    <x v="30"/>
    <s v="VN"/>
    <x v="2"/>
    <x v="4"/>
    <s v="US"/>
    <x v="2"/>
  </r>
  <r>
    <x v="1"/>
    <x v="1"/>
    <x v="1"/>
    <x v="0"/>
    <x v="20"/>
    <n v="24000"/>
    <x v="28"/>
    <s v="BR"/>
    <x v="2"/>
    <x v="28"/>
    <s v="BR"/>
    <x v="2"/>
  </r>
  <r>
    <x v="1"/>
    <x v="2"/>
    <x v="2"/>
    <x v="0"/>
    <x v="0"/>
    <n v="100000"/>
    <x v="4"/>
    <s v="US"/>
    <x v="0"/>
    <x v="4"/>
    <s v="US"/>
    <x v="1"/>
  </r>
  <r>
    <x v="1"/>
    <x v="0"/>
    <x v="0"/>
    <x v="0"/>
    <x v="5"/>
    <n v="90000"/>
    <x v="4"/>
    <s v="US"/>
    <x v="2"/>
    <x v="4"/>
    <s v="US"/>
    <x v="2"/>
  </r>
  <r>
    <x v="1"/>
    <x v="0"/>
    <x v="0"/>
    <x v="0"/>
    <x v="18"/>
    <n v="63711"/>
    <x v="1"/>
    <s v="JP"/>
    <x v="1"/>
    <x v="1"/>
    <s v="JP"/>
    <x v="1"/>
  </r>
  <r>
    <x v="1"/>
    <x v="0"/>
    <x v="0"/>
    <x v="0"/>
    <x v="18"/>
    <n v="77364"/>
    <x v="1"/>
    <s v="JP"/>
    <x v="1"/>
    <x v="1"/>
    <s v="JP"/>
    <x v="1"/>
  </r>
  <r>
    <x v="1"/>
    <x v="1"/>
    <x v="1"/>
    <x v="0"/>
    <x v="21"/>
    <n v="220000"/>
    <x v="4"/>
    <s v="US"/>
    <x v="0"/>
    <x v="4"/>
    <s v="US"/>
    <x v="0"/>
  </r>
  <r>
    <x v="1"/>
    <x v="2"/>
    <x v="2"/>
    <x v="0"/>
    <x v="0"/>
    <n v="80000"/>
    <x v="4"/>
    <s v="US"/>
    <x v="2"/>
    <x v="4"/>
    <s v="US"/>
    <x v="2"/>
  </r>
  <r>
    <x v="1"/>
    <x v="0"/>
    <x v="0"/>
    <x v="0"/>
    <x v="5"/>
    <n v="135000"/>
    <x v="4"/>
    <s v="US"/>
    <x v="2"/>
    <x v="4"/>
    <s v="US"/>
    <x v="0"/>
  </r>
  <r>
    <x v="1"/>
    <x v="1"/>
    <x v="1"/>
    <x v="0"/>
    <x v="22"/>
    <n v="240000"/>
    <x v="4"/>
    <s v="US"/>
    <x v="0"/>
    <x v="4"/>
    <s v="US"/>
    <x v="0"/>
  </r>
  <r>
    <x v="1"/>
    <x v="1"/>
    <x v="1"/>
    <x v="0"/>
    <x v="16"/>
    <n v="150000"/>
    <x v="4"/>
    <s v="US"/>
    <x v="0"/>
    <x v="4"/>
    <s v="US"/>
    <x v="0"/>
  </r>
  <r>
    <x v="1"/>
    <x v="0"/>
    <x v="0"/>
    <x v="0"/>
    <x v="0"/>
    <n v="82500"/>
    <x v="4"/>
    <s v="US"/>
    <x v="2"/>
    <x v="4"/>
    <s v="US"/>
    <x v="1"/>
  </r>
  <r>
    <x v="1"/>
    <x v="0"/>
    <x v="0"/>
    <x v="0"/>
    <x v="10"/>
    <n v="100000"/>
    <x v="4"/>
    <s v="US"/>
    <x v="2"/>
    <x v="4"/>
    <s v="US"/>
    <x v="0"/>
  </r>
  <r>
    <x v="1"/>
    <x v="1"/>
    <x v="1"/>
    <x v="0"/>
    <x v="4"/>
    <n v="82744"/>
    <x v="31"/>
    <s v="BE"/>
    <x v="1"/>
    <x v="29"/>
    <s v="BE"/>
    <x v="2"/>
  </r>
  <r>
    <x v="1"/>
    <x v="0"/>
    <x v="0"/>
    <x v="0"/>
    <x v="14"/>
    <n v="62649"/>
    <x v="7"/>
    <s v="FR"/>
    <x v="1"/>
    <x v="7"/>
    <s v="FR"/>
    <x v="2"/>
  </r>
  <r>
    <x v="1"/>
    <x v="0"/>
    <x v="0"/>
    <x v="0"/>
    <x v="10"/>
    <n v="90000"/>
    <x v="4"/>
    <s v="US"/>
    <x v="2"/>
    <x v="4"/>
    <s v="US"/>
    <x v="0"/>
  </r>
  <r>
    <x v="1"/>
    <x v="1"/>
    <x v="1"/>
    <x v="0"/>
    <x v="16"/>
    <n v="153000"/>
    <x v="4"/>
    <s v="US"/>
    <x v="2"/>
    <x v="4"/>
    <s v="US"/>
    <x v="0"/>
  </r>
  <r>
    <x v="1"/>
    <x v="1"/>
    <x v="1"/>
    <x v="0"/>
    <x v="28"/>
    <n v="160000"/>
    <x v="28"/>
    <s v="BR"/>
    <x v="2"/>
    <x v="4"/>
    <s v="US"/>
    <x v="1"/>
  </r>
  <r>
    <x v="1"/>
    <x v="1"/>
    <x v="1"/>
    <x v="0"/>
    <x v="13"/>
    <n v="168000"/>
    <x v="1"/>
    <s v="JP"/>
    <x v="0"/>
    <x v="1"/>
    <s v="JP"/>
    <x v="1"/>
  </r>
  <r>
    <x v="1"/>
    <x v="0"/>
    <x v="0"/>
    <x v="0"/>
    <x v="0"/>
    <n v="150000"/>
    <x v="4"/>
    <s v="US"/>
    <x v="2"/>
    <x v="4"/>
    <s v="US"/>
    <x v="2"/>
  </r>
  <r>
    <x v="1"/>
    <x v="0"/>
    <x v="0"/>
    <x v="0"/>
    <x v="0"/>
    <n v="75774"/>
    <x v="17"/>
    <s v="CA"/>
    <x v="2"/>
    <x v="15"/>
    <s v="CA"/>
    <x v="0"/>
  </r>
  <r>
    <x v="1"/>
    <x v="2"/>
    <x v="2"/>
    <x v="0"/>
    <x v="0"/>
    <n v="13400"/>
    <x v="32"/>
    <s v="UA"/>
    <x v="2"/>
    <x v="30"/>
    <s v="UA"/>
    <x v="0"/>
  </r>
  <r>
    <x v="1"/>
    <x v="1"/>
    <x v="1"/>
    <x v="0"/>
    <x v="22"/>
    <n v="144000"/>
    <x v="4"/>
    <s v="US"/>
    <x v="2"/>
    <x v="4"/>
    <s v="US"/>
    <x v="0"/>
  </r>
  <r>
    <x v="1"/>
    <x v="1"/>
    <x v="1"/>
    <x v="0"/>
    <x v="32"/>
    <n v="127221"/>
    <x v="17"/>
    <s v="CA"/>
    <x v="1"/>
    <x v="15"/>
    <s v="CA"/>
    <x v="0"/>
  </r>
  <r>
    <x v="1"/>
    <x v="0"/>
    <x v="0"/>
    <x v="0"/>
    <x v="0"/>
    <n v="119059"/>
    <x v="27"/>
    <s v="SG"/>
    <x v="2"/>
    <x v="31"/>
    <s v="IL"/>
    <x v="2"/>
  </r>
  <r>
    <x v="1"/>
    <x v="0"/>
    <x v="0"/>
    <x v="0"/>
    <x v="35"/>
    <n v="423000"/>
    <x v="4"/>
    <s v="US"/>
    <x v="1"/>
    <x v="4"/>
    <s v="US"/>
    <x v="0"/>
  </r>
  <r>
    <x v="1"/>
    <x v="1"/>
    <x v="1"/>
    <x v="0"/>
    <x v="36"/>
    <n v="120000"/>
    <x v="4"/>
    <s v="US"/>
    <x v="2"/>
    <x v="4"/>
    <s v="US"/>
    <x v="2"/>
  </r>
  <r>
    <x v="1"/>
    <x v="2"/>
    <x v="2"/>
    <x v="0"/>
    <x v="4"/>
    <n v="125000"/>
    <x v="4"/>
    <s v="US"/>
    <x v="2"/>
    <x v="4"/>
    <s v="US"/>
    <x v="1"/>
  </r>
  <r>
    <x v="1"/>
    <x v="3"/>
    <x v="3"/>
    <x v="0"/>
    <x v="23"/>
    <n v="230000"/>
    <x v="23"/>
    <s v="RU"/>
    <x v="1"/>
    <x v="32"/>
    <s v="RU"/>
    <x v="0"/>
  </r>
  <r>
    <x v="1"/>
    <x v="3"/>
    <x v="3"/>
    <x v="0"/>
    <x v="37"/>
    <n v="85000"/>
    <x v="23"/>
    <s v="RU"/>
    <x v="0"/>
    <x v="32"/>
    <s v="RU"/>
    <x v="2"/>
  </r>
  <r>
    <x v="1"/>
    <x v="0"/>
    <x v="0"/>
    <x v="0"/>
    <x v="10"/>
    <n v="28369"/>
    <x v="33"/>
    <s v="MT"/>
    <x v="1"/>
    <x v="33"/>
    <s v="MT"/>
    <x v="0"/>
  </r>
  <r>
    <x v="1"/>
    <x v="2"/>
    <x v="2"/>
    <x v="0"/>
    <x v="11"/>
    <n v="63831"/>
    <x v="0"/>
    <s v="DE"/>
    <x v="1"/>
    <x v="0"/>
    <s v="DE"/>
    <x v="0"/>
  </r>
  <r>
    <x v="1"/>
    <x v="3"/>
    <x v="3"/>
    <x v="0"/>
    <x v="13"/>
    <n v="130026"/>
    <x v="0"/>
    <s v="DE"/>
    <x v="1"/>
    <x v="0"/>
    <s v="DE"/>
    <x v="2"/>
  </r>
  <r>
    <x v="1"/>
    <x v="1"/>
    <x v="1"/>
    <x v="0"/>
    <x v="38"/>
    <n v="165000"/>
    <x v="4"/>
    <s v="US"/>
    <x v="2"/>
    <x v="4"/>
    <s v="US"/>
    <x v="0"/>
  </r>
  <r>
    <x v="1"/>
    <x v="2"/>
    <x v="2"/>
    <x v="0"/>
    <x v="10"/>
    <n v="80000"/>
    <x v="4"/>
    <s v="US"/>
    <x v="2"/>
    <x v="4"/>
    <s v="US"/>
    <x v="0"/>
  </r>
  <r>
    <x v="1"/>
    <x v="3"/>
    <x v="3"/>
    <x v="0"/>
    <x v="13"/>
    <n v="250000"/>
    <x v="4"/>
    <s v="US"/>
    <x v="0"/>
    <x v="4"/>
    <s v="US"/>
    <x v="0"/>
  </r>
  <r>
    <x v="1"/>
    <x v="2"/>
    <x v="2"/>
    <x v="0"/>
    <x v="12"/>
    <n v="55000"/>
    <x v="4"/>
    <s v="US"/>
    <x v="1"/>
    <x v="4"/>
    <s v="US"/>
    <x v="1"/>
  </r>
  <r>
    <x v="1"/>
    <x v="0"/>
    <x v="0"/>
    <x v="0"/>
    <x v="39"/>
    <n v="150000"/>
    <x v="4"/>
    <s v="US"/>
    <x v="2"/>
    <x v="4"/>
    <s v="US"/>
    <x v="0"/>
  </r>
  <r>
    <x v="1"/>
    <x v="0"/>
    <x v="0"/>
    <x v="0"/>
    <x v="39"/>
    <n v="170000"/>
    <x v="4"/>
    <s v="US"/>
    <x v="2"/>
    <x v="4"/>
    <s v="US"/>
    <x v="0"/>
  </r>
  <r>
    <x v="1"/>
    <x v="0"/>
    <x v="0"/>
    <x v="0"/>
    <x v="10"/>
    <n v="82528"/>
    <x v="2"/>
    <s v="GB"/>
    <x v="2"/>
    <x v="2"/>
    <s v="GB"/>
    <x v="0"/>
  </r>
  <r>
    <x v="1"/>
    <x v="2"/>
    <x v="2"/>
    <x v="0"/>
    <x v="5"/>
    <n v="60000"/>
    <x v="4"/>
    <s v="US"/>
    <x v="2"/>
    <x v="4"/>
    <s v="US"/>
    <x v="1"/>
  </r>
  <r>
    <x v="1"/>
    <x v="1"/>
    <x v="1"/>
    <x v="0"/>
    <x v="21"/>
    <n v="235000"/>
    <x v="4"/>
    <s v="US"/>
    <x v="2"/>
    <x v="4"/>
    <s v="US"/>
    <x v="0"/>
  </r>
  <r>
    <x v="1"/>
    <x v="1"/>
    <x v="1"/>
    <x v="0"/>
    <x v="14"/>
    <n v="60757"/>
    <x v="11"/>
    <s v="PT"/>
    <x v="1"/>
    <x v="19"/>
    <s v="PT"/>
    <x v="0"/>
  </r>
  <r>
    <x v="1"/>
    <x v="1"/>
    <x v="1"/>
    <x v="0"/>
    <x v="16"/>
    <n v="174000"/>
    <x v="4"/>
    <s v="US"/>
    <x v="2"/>
    <x v="4"/>
    <s v="US"/>
    <x v="0"/>
  </r>
  <r>
    <x v="1"/>
    <x v="0"/>
    <x v="0"/>
    <x v="0"/>
    <x v="0"/>
    <n v="2859"/>
    <x v="16"/>
    <s v="MX"/>
    <x v="0"/>
    <x v="14"/>
    <s v="MX"/>
    <x v="1"/>
  </r>
  <r>
    <x v="1"/>
    <x v="0"/>
    <x v="0"/>
    <x v="0"/>
    <x v="0"/>
    <n v="40038"/>
    <x v="34"/>
    <s v="CL"/>
    <x v="2"/>
    <x v="34"/>
    <s v="CL"/>
    <x v="0"/>
  </r>
  <r>
    <x v="1"/>
    <x v="2"/>
    <x v="2"/>
    <x v="0"/>
    <x v="4"/>
    <n v="81000"/>
    <x v="4"/>
    <s v="US"/>
    <x v="1"/>
    <x v="4"/>
    <s v="US"/>
    <x v="1"/>
  </r>
  <r>
    <x v="1"/>
    <x v="0"/>
    <x v="0"/>
    <x v="0"/>
    <x v="0"/>
    <n v="5679"/>
    <x v="8"/>
    <s v="IN"/>
    <x v="2"/>
    <x v="4"/>
    <s v="US"/>
    <x v="1"/>
  </r>
  <r>
    <x v="1"/>
    <x v="0"/>
    <x v="0"/>
    <x v="0"/>
    <x v="2"/>
    <n v="22611"/>
    <x v="8"/>
    <s v="IN"/>
    <x v="0"/>
    <x v="8"/>
    <s v="IN"/>
    <x v="0"/>
  </r>
  <r>
    <x v="1"/>
    <x v="0"/>
    <x v="0"/>
    <x v="0"/>
    <x v="0"/>
    <n v="90734"/>
    <x v="0"/>
    <s v="DE"/>
    <x v="1"/>
    <x v="0"/>
    <s v="DE"/>
    <x v="0"/>
  </r>
  <r>
    <x v="1"/>
    <x v="0"/>
    <x v="0"/>
    <x v="0"/>
    <x v="10"/>
    <n v="26005"/>
    <x v="35"/>
    <s v="RO"/>
    <x v="0"/>
    <x v="4"/>
    <s v="US"/>
    <x v="0"/>
  </r>
  <r>
    <x v="1"/>
    <x v="1"/>
    <x v="1"/>
    <x v="0"/>
    <x v="40"/>
    <n v="61896"/>
    <x v="2"/>
    <s v="GB"/>
    <x v="1"/>
    <x v="2"/>
    <s v="GB"/>
    <x v="0"/>
  </r>
  <r>
    <x v="1"/>
    <x v="0"/>
    <x v="0"/>
    <x v="3"/>
    <x v="1"/>
    <n v="12000"/>
    <x v="9"/>
    <s v="PK"/>
    <x v="1"/>
    <x v="9"/>
    <s v="PK"/>
    <x v="2"/>
  </r>
  <r>
    <x v="1"/>
    <x v="0"/>
    <x v="0"/>
    <x v="0"/>
    <x v="10"/>
    <n v="4000"/>
    <x v="36"/>
    <s v="IR"/>
    <x v="2"/>
    <x v="35"/>
    <s v="IR"/>
    <x v="2"/>
  </r>
  <r>
    <x v="1"/>
    <x v="1"/>
    <x v="1"/>
    <x v="0"/>
    <x v="25"/>
    <n v="50000"/>
    <x v="30"/>
    <s v="VN"/>
    <x v="2"/>
    <x v="2"/>
    <s v="GB"/>
    <x v="2"/>
  </r>
  <r>
    <x v="1"/>
    <x v="3"/>
    <x v="3"/>
    <x v="0"/>
    <x v="11"/>
    <n v="69741"/>
    <x v="7"/>
    <s v="FR"/>
    <x v="2"/>
    <x v="18"/>
    <s v="ES"/>
    <x v="1"/>
  </r>
  <r>
    <x v="1"/>
    <x v="1"/>
    <x v="1"/>
    <x v="0"/>
    <x v="10"/>
    <n v="76833"/>
    <x v="35"/>
    <s v="RO"/>
    <x v="1"/>
    <x v="2"/>
    <s v="GB"/>
    <x v="1"/>
  </r>
  <r>
    <x v="1"/>
    <x v="0"/>
    <x v="0"/>
    <x v="0"/>
    <x v="4"/>
    <n v="74000"/>
    <x v="1"/>
    <s v="JP"/>
    <x v="1"/>
    <x v="1"/>
    <s v="JP"/>
    <x v="1"/>
  </r>
  <r>
    <x v="1"/>
    <x v="1"/>
    <x v="1"/>
    <x v="0"/>
    <x v="22"/>
    <n v="152000"/>
    <x v="4"/>
    <s v="US"/>
    <x v="2"/>
    <x v="7"/>
    <s v="FR"/>
    <x v="0"/>
  </r>
  <r>
    <x v="1"/>
    <x v="2"/>
    <x v="2"/>
    <x v="0"/>
    <x v="4"/>
    <n v="21844"/>
    <x v="37"/>
    <s v="CO"/>
    <x v="1"/>
    <x v="36"/>
    <s v="CO"/>
    <x v="2"/>
  </r>
  <r>
    <x v="1"/>
    <x v="0"/>
    <x v="0"/>
    <x v="0"/>
    <x v="2"/>
    <n v="18000"/>
    <x v="38"/>
    <s v="MD"/>
    <x v="0"/>
    <x v="37"/>
    <s v="MD"/>
    <x v="1"/>
  </r>
  <r>
    <x v="1"/>
    <x v="1"/>
    <x v="1"/>
    <x v="0"/>
    <x v="22"/>
    <n v="174000"/>
    <x v="4"/>
    <s v="US"/>
    <x v="2"/>
    <x v="4"/>
    <s v="US"/>
    <x v="0"/>
  </r>
  <r>
    <x v="1"/>
    <x v="1"/>
    <x v="1"/>
    <x v="0"/>
    <x v="14"/>
    <n v="96113"/>
    <x v="17"/>
    <s v="CA"/>
    <x v="1"/>
    <x v="15"/>
    <s v="CA"/>
    <x v="0"/>
  </r>
  <r>
    <x v="1"/>
    <x v="0"/>
    <x v="0"/>
    <x v="0"/>
    <x v="0"/>
    <n v="147000"/>
    <x v="4"/>
    <s v="US"/>
    <x v="1"/>
    <x v="4"/>
    <s v="US"/>
    <x v="0"/>
  </r>
  <r>
    <x v="1"/>
    <x v="2"/>
    <x v="2"/>
    <x v="0"/>
    <x v="12"/>
    <n v="9272"/>
    <x v="39"/>
    <s v="KE"/>
    <x v="2"/>
    <x v="38"/>
    <s v="KE"/>
    <x v="1"/>
  </r>
  <r>
    <x v="1"/>
    <x v="1"/>
    <x v="1"/>
    <x v="0"/>
    <x v="4"/>
    <n v="24342"/>
    <x v="8"/>
    <s v="IN"/>
    <x v="2"/>
    <x v="8"/>
    <s v="IN"/>
    <x v="0"/>
  </r>
  <r>
    <x v="1"/>
    <x v="1"/>
    <x v="1"/>
    <x v="0"/>
    <x v="22"/>
    <n v="54094"/>
    <x v="8"/>
    <s v="IN"/>
    <x v="1"/>
    <x v="4"/>
    <s v="US"/>
    <x v="0"/>
  </r>
  <r>
    <x v="1"/>
    <x v="2"/>
    <x v="2"/>
    <x v="0"/>
    <x v="11"/>
    <n v="90000"/>
    <x v="4"/>
    <s v="US"/>
    <x v="2"/>
    <x v="4"/>
    <s v="US"/>
    <x v="1"/>
  </r>
  <r>
    <x v="1"/>
    <x v="0"/>
    <x v="0"/>
    <x v="0"/>
    <x v="0"/>
    <n v="61467"/>
    <x v="0"/>
    <s v="DE"/>
    <x v="1"/>
    <x v="16"/>
    <s v="AT"/>
    <x v="2"/>
  </r>
  <r>
    <x v="1"/>
    <x v="1"/>
    <x v="1"/>
    <x v="0"/>
    <x v="17"/>
    <n v="195000"/>
    <x v="4"/>
    <s v="US"/>
    <x v="2"/>
    <x v="4"/>
    <s v="US"/>
    <x v="2"/>
  </r>
  <r>
    <x v="1"/>
    <x v="0"/>
    <x v="0"/>
    <x v="0"/>
    <x v="0"/>
    <n v="37825"/>
    <x v="21"/>
    <s v="ES"/>
    <x v="2"/>
    <x v="18"/>
    <s v="ES"/>
    <x v="0"/>
  </r>
  <r>
    <x v="1"/>
    <x v="1"/>
    <x v="1"/>
    <x v="0"/>
    <x v="14"/>
    <n v="50000"/>
    <x v="7"/>
    <s v="FR"/>
    <x v="2"/>
    <x v="4"/>
    <s v="US"/>
    <x v="1"/>
  </r>
  <r>
    <x v="1"/>
    <x v="0"/>
    <x v="0"/>
    <x v="0"/>
    <x v="0"/>
    <n v="160000"/>
    <x v="4"/>
    <s v="US"/>
    <x v="2"/>
    <x v="4"/>
    <s v="US"/>
    <x v="0"/>
  </r>
  <r>
    <x v="1"/>
    <x v="0"/>
    <x v="0"/>
    <x v="0"/>
    <x v="0"/>
    <n v="12901"/>
    <x v="28"/>
    <s v="BR"/>
    <x v="0"/>
    <x v="28"/>
    <s v="BR"/>
    <x v="1"/>
  </r>
  <r>
    <x v="1"/>
    <x v="1"/>
    <x v="1"/>
    <x v="0"/>
    <x v="4"/>
    <n v="200000"/>
    <x v="4"/>
    <s v="US"/>
    <x v="2"/>
    <x v="4"/>
    <s v="US"/>
    <x v="0"/>
  </r>
  <r>
    <x v="1"/>
    <x v="1"/>
    <x v="1"/>
    <x v="0"/>
    <x v="10"/>
    <n v="165000"/>
    <x v="4"/>
    <s v="US"/>
    <x v="0"/>
    <x v="4"/>
    <s v="US"/>
    <x v="2"/>
  </r>
  <r>
    <x v="1"/>
    <x v="0"/>
    <x v="0"/>
    <x v="3"/>
    <x v="10"/>
    <n v="20000"/>
    <x v="24"/>
    <s v="IT"/>
    <x v="0"/>
    <x v="4"/>
    <s v="US"/>
    <x v="0"/>
  </r>
  <r>
    <x v="1"/>
    <x v="1"/>
    <x v="1"/>
    <x v="0"/>
    <x v="36"/>
    <n v="120000"/>
    <x v="4"/>
    <s v="US"/>
    <x v="0"/>
    <x v="4"/>
    <s v="US"/>
    <x v="0"/>
  </r>
  <r>
    <x v="1"/>
    <x v="0"/>
    <x v="0"/>
    <x v="0"/>
    <x v="4"/>
    <n v="24823"/>
    <x v="40"/>
    <s v="SI"/>
    <x v="1"/>
    <x v="39"/>
    <s v="SI"/>
    <x v="0"/>
  </r>
  <r>
    <x v="1"/>
    <x v="0"/>
    <x v="0"/>
    <x v="0"/>
    <x v="14"/>
    <n v="56738"/>
    <x v="7"/>
    <s v="FR"/>
    <x v="1"/>
    <x v="7"/>
    <s v="FR"/>
    <x v="1"/>
  </r>
  <r>
    <x v="1"/>
    <x v="0"/>
    <x v="0"/>
    <x v="0"/>
    <x v="10"/>
    <n v="66022"/>
    <x v="41"/>
    <s v="HK"/>
    <x v="1"/>
    <x v="2"/>
    <s v="GB"/>
    <x v="1"/>
  </r>
  <r>
    <x v="1"/>
    <x v="2"/>
    <x v="2"/>
    <x v="0"/>
    <x v="2"/>
    <n v="5882"/>
    <x v="8"/>
    <s v="IN"/>
    <x v="0"/>
    <x v="40"/>
    <s v="CH"/>
    <x v="0"/>
  </r>
  <r>
    <x v="1"/>
    <x v="2"/>
    <x v="2"/>
    <x v="0"/>
    <x v="4"/>
    <n v="24823"/>
    <x v="0"/>
    <s v="DE"/>
    <x v="1"/>
    <x v="0"/>
    <s v="DE"/>
    <x v="2"/>
  </r>
  <r>
    <x v="1"/>
    <x v="1"/>
    <x v="1"/>
    <x v="0"/>
    <x v="33"/>
    <n v="185000"/>
    <x v="4"/>
    <s v="US"/>
    <x v="2"/>
    <x v="4"/>
    <s v="US"/>
    <x v="0"/>
  </r>
  <r>
    <x v="1"/>
    <x v="2"/>
    <x v="2"/>
    <x v="2"/>
    <x v="20"/>
    <n v="28609"/>
    <x v="22"/>
    <s v="DK"/>
    <x v="1"/>
    <x v="20"/>
    <s v="DK"/>
    <x v="1"/>
  </r>
  <r>
    <x v="1"/>
    <x v="0"/>
    <x v="0"/>
    <x v="0"/>
    <x v="0"/>
    <n v="90734"/>
    <x v="0"/>
    <s v="DE"/>
    <x v="1"/>
    <x v="0"/>
    <s v="DE"/>
    <x v="0"/>
  </r>
  <r>
    <x v="1"/>
    <x v="0"/>
    <x v="0"/>
    <x v="0"/>
    <x v="4"/>
    <n v="88654"/>
    <x v="31"/>
    <s v="BE"/>
    <x v="2"/>
    <x v="29"/>
    <s v="BE"/>
    <x v="2"/>
  </r>
  <r>
    <x v="1"/>
    <x v="1"/>
    <x v="1"/>
    <x v="0"/>
    <x v="36"/>
    <n v="140000"/>
    <x v="4"/>
    <s v="US"/>
    <x v="2"/>
    <x v="4"/>
    <s v="US"/>
    <x v="0"/>
  </r>
  <r>
    <x v="1"/>
    <x v="0"/>
    <x v="0"/>
    <x v="0"/>
    <x v="4"/>
    <n v="46597"/>
    <x v="10"/>
    <s v="PL"/>
    <x v="2"/>
    <x v="24"/>
    <s v="PL"/>
    <x v="0"/>
  </r>
  <r>
    <x v="1"/>
    <x v="0"/>
    <x v="0"/>
    <x v="0"/>
    <x v="0"/>
    <n v="116914"/>
    <x v="2"/>
    <s v="GB"/>
    <x v="1"/>
    <x v="2"/>
    <s v="GB"/>
    <x v="0"/>
  </r>
  <r>
    <x v="1"/>
    <x v="0"/>
    <x v="0"/>
    <x v="0"/>
    <x v="0"/>
    <n v="33808"/>
    <x v="8"/>
    <s v="IN"/>
    <x v="0"/>
    <x v="8"/>
    <s v="IN"/>
    <x v="2"/>
  </r>
  <r>
    <x v="1"/>
    <x v="0"/>
    <x v="0"/>
    <x v="0"/>
    <x v="0"/>
    <n v="56256"/>
    <x v="2"/>
    <s v="GB"/>
    <x v="1"/>
    <x v="2"/>
    <s v="GB"/>
    <x v="0"/>
  </r>
  <r>
    <x v="1"/>
    <x v="1"/>
    <x v="1"/>
    <x v="0"/>
    <x v="1"/>
    <n v="225000"/>
    <x v="4"/>
    <s v="US"/>
    <x v="2"/>
    <x v="15"/>
    <s v="CA"/>
    <x v="0"/>
  </r>
  <r>
    <x v="1"/>
    <x v="3"/>
    <x v="3"/>
    <x v="1"/>
    <x v="21"/>
    <n v="416000"/>
    <x v="4"/>
    <s v="US"/>
    <x v="2"/>
    <x v="4"/>
    <s v="US"/>
    <x v="1"/>
  </r>
  <r>
    <x v="1"/>
    <x v="1"/>
    <x v="1"/>
    <x v="0"/>
    <x v="0"/>
    <n v="87738"/>
    <x v="17"/>
    <s v="CA"/>
    <x v="2"/>
    <x v="15"/>
    <s v="CA"/>
    <x v="1"/>
  </r>
  <r>
    <x v="1"/>
    <x v="0"/>
    <x v="0"/>
    <x v="0"/>
    <x v="0"/>
    <n v="88654"/>
    <x v="0"/>
    <s v="DE"/>
    <x v="1"/>
    <x v="0"/>
    <s v="DE"/>
    <x v="0"/>
  </r>
  <r>
    <x v="1"/>
    <x v="1"/>
    <x v="1"/>
    <x v="0"/>
    <x v="0"/>
    <n v="135000"/>
    <x v="4"/>
    <s v="US"/>
    <x v="0"/>
    <x v="4"/>
    <s v="US"/>
    <x v="0"/>
  </r>
  <r>
    <x v="1"/>
    <x v="1"/>
    <x v="1"/>
    <x v="0"/>
    <x v="5"/>
    <n v="71786"/>
    <x v="17"/>
    <s v="CA"/>
    <x v="2"/>
    <x v="15"/>
    <s v="CA"/>
    <x v="2"/>
  </r>
  <r>
    <x v="1"/>
    <x v="2"/>
    <x v="2"/>
    <x v="0"/>
    <x v="2"/>
    <n v="16228"/>
    <x v="8"/>
    <s v="IN"/>
    <x v="2"/>
    <x v="8"/>
    <s v="IN"/>
    <x v="0"/>
  </r>
  <r>
    <x v="1"/>
    <x v="1"/>
    <x v="1"/>
    <x v="0"/>
    <x v="18"/>
    <n v="256000"/>
    <x v="4"/>
    <s v="US"/>
    <x v="2"/>
    <x v="4"/>
    <s v="US"/>
    <x v="1"/>
  </r>
  <r>
    <x v="1"/>
    <x v="1"/>
    <x v="1"/>
    <x v="0"/>
    <x v="31"/>
    <n v="200000"/>
    <x v="4"/>
    <s v="US"/>
    <x v="2"/>
    <x v="4"/>
    <s v="US"/>
    <x v="0"/>
  </r>
  <r>
    <x v="1"/>
    <x v="1"/>
    <x v="1"/>
    <x v="0"/>
    <x v="5"/>
    <n v="200000"/>
    <x v="4"/>
    <s v="US"/>
    <x v="2"/>
    <x v="4"/>
    <s v="US"/>
    <x v="0"/>
  </r>
  <r>
    <x v="1"/>
    <x v="0"/>
    <x v="0"/>
    <x v="0"/>
    <x v="39"/>
    <n v="180000"/>
    <x v="4"/>
    <s v="US"/>
    <x v="2"/>
    <x v="4"/>
    <s v="US"/>
    <x v="0"/>
  </r>
  <r>
    <x v="1"/>
    <x v="0"/>
    <x v="0"/>
    <x v="0"/>
    <x v="37"/>
    <n v="110000"/>
    <x v="4"/>
    <s v="US"/>
    <x v="0"/>
    <x v="4"/>
    <s v="US"/>
    <x v="1"/>
  </r>
  <r>
    <x v="1"/>
    <x v="0"/>
    <x v="0"/>
    <x v="0"/>
    <x v="14"/>
    <n v="63810"/>
    <x v="17"/>
    <s v="CA"/>
    <x v="2"/>
    <x v="15"/>
    <s v="CA"/>
    <x v="2"/>
  </r>
  <r>
    <x v="1"/>
    <x v="0"/>
    <x v="0"/>
    <x v="0"/>
    <x v="0"/>
    <n v="46809"/>
    <x v="21"/>
    <s v="ES"/>
    <x v="2"/>
    <x v="18"/>
    <s v="ES"/>
    <x v="2"/>
  </r>
  <r>
    <x v="1"/>
    <x v="2"/>
    <x v="2"/>
    <x v="0"/>
    <x v="0"/>
    <n v="4000"/>
    <x v="30"/>
    <s v="VN"/>
    <x v="0"/>
    <x v="41"/>
    <s v="VN"/>
    <x v="2"/>
  </r>
  <r>
    <x v="1"/>
    <x v="2"/>
    <x v="2"/>
    <x v="0"/>
    <x v="10"/>
    <n v="21637"/>
    <x v="8"/>
    <s v="IN"/>
    <x v="1"/>
    <x v="8"/>
    <s v="IN"/>
    <x v="2"/>
  </r>
  <r>
    <x v="1"/>
    <x v="1"/>
    <x v="1"/>
    <x v="0"/>
    <x v="0"/>
    <n v="103691"/>
    <x v="17"/>
    <s v="CA"/>
    <x v="2"/>
    <x v="15"/>
    <s v="CA"/>
    <x v="0"/>
  </r>
  <r>
    <x v="1"/>
    <x v="0"/>
    <x v="0"/>
    <x v="0"/>
    <x v="5"/>
    <n v="80000"/>
    <x v="4"/>
    <s v="US"/>
    <x v="2"/>
    <x v="4"/>
    <s v="US"/>
    <x v="0"/>
  </r>
  <r>
    <x v="1"/>
    <x v="0"/>
    <x v="0"/>
    <x v="0"/>
    <x v="10"/>
    <n v="110000"/>
    <x v="4"/>
    <s v="US"/>
    <x v="2"/>
    <x v="4"/>
    <s v="US"/>
    <x v="0"/>
  </r>
  <r>
    <x v="1"/>
    <x v="1"/>
    <x v="1"/>
    <x v="0"/>
    <x v="0"/>
    <n v="165000"/>
    <x v="4"/>
    <s v="US"/>
    <x v="2"/>
    <x v="4"/>
    <s v="US"/>
    <x v="0"/>
  </r>
  <r>
    <x v="1"/>
    <x v="2"/>
    <x v="2"/>
    <x v="0"/>
    <x v="19"/>
    <n v="18053"/>
    <x v="8"/>
    <s v="IN"/>
    <x v="2"/>
    <x v="42"/>
    <s v="AS"/>
    <x v="1"/>
  </r>
  <r>
    <x v="1"/>
    <x v="0"/>
    <x v="0"/>
    <x v="0"/>
    <x v="10"/>
    <n v="72212"/>
    <x v="2"/>
    <s v="GB"/>
    <x v="1"/>
    <x v="2"/>
    <s v="GB"/>
    <x v="0"/>
  </r>
  <r>
    <x v="1"/>
    <x v="2"/>
    <x v="2"/>
    <x v="0"/>
    <x v="0"/>
    <n v="36643"/>
    <x v="7"/>
    <s v="FR"/>
    <x v="1"/>
    <x v="7"/>
    <s v="FR"/>
    <x v="0"/>
  </r>
  <r>
    <x v="1"/>
    <x v="0"/>
    <x v="0"/>
    <x v="0"/>
    <x v="10"/>
    <n v="12103"/>
    <x v="42"/>
    <s v="TR"/>
    <x v="0"/>
    <x v="43"/>
    <s v="TR"/>
    <x v="2"/>
  </r>
  <r>
    <x v="1"/>
    <x v="1"/>
    <x v="1"/>
    <x v="0"/>
    <x v="10"/>
    <n v="96282"/>
    <x v="2"/>
    <s v="GB"/>
    <x v="1"/>
    <x v="2"/>
    <s v="GB"/>
    <x v="0"/>
  </r>
  <r>
    <x v="1"/>
    <x v="1"/>
    <x v="1"/>
    <x v="0"/>
    <x v="41"/>
    <n v="170000"/>
    <x v="4"/>
    <s v="US"/>
    <x v="2"/>
    <x v="4"/>
    <s v="US"/>
    <x v="2"/>
  </r>
  <r>
    <x v="1"/>
    <x v="0"/>
    <x v="0"/>
    <x v="0"/>
    <x v="0"/>
    <n v="115000"/>
    <x v="4"/>
    <s v="US"/>
    <x v="1"/>
    <x v="4"/>
    <s v="US"/>
    <x v="0"/>
  </r>
  <r>
    <x v="1"/>
    <x v="2"/>
    <x v="2"/>
    <x v="0"/>
    <x v="0"/>
    <n v="90000"/>
    <x v="4"/>
    <s v="US"/>
    <x v="2"/>
    <x v="4"/>
    <s v="US"/>
    <x v="1"/>
  </r>
  <r>
    <x v="1"/>
    <x v="3"/>
    <x v="3"/>
    <x v="0"/>
    <x v="33"/>
    <n v="600000"/>
    <x v="4"/>
    <s v="US"/>
    <x v="2"/>
    <x v="4"/>
    <s v="US"/>
    <x v="0"/>
  </r>
  <r>
    <x v="1"/>
    <x v="2"/>
    <x v="2"/>
    <x v="0"/>
    <x v="0"/>
    <n v="28399"/>
    <x v="8"/>
    <s v="IN"/>
    <x v="2"/>
    <x v="8"/>
    <s v="IN"/>
    <x v="2"/>
  </r>
  <r>
    <x v="1"/>
    <x v="0"/>
    <x v="0"/>
    <x v="0"/>
    <x v="5"/>
    <n v="93000"/>
    <x v="4"/>
    <s v="US"/>
    <x v="2"/>
    <x v="4"/>
    <s v="US"/>
    <x v="0"/>
  </r>
  <r>
    <x v="1"/>
    <x v="1"/>
    <x v="1"/>
    <x v="0"/>
    <x v="42"/>
    <n v="99703"/>
    <x v="17"/>
    <s v="CA"/>
    <x v="1"/>
    <x v="15"/>
    <s v="CA"/>
    <x v="2"/>
  </r>
  <r>
    <x v="1"/>
    <x v="0"/>
    <x v="0"/>
    <x v="0"/>
    <x v="10"/>
    <n v="200000"/>
    <x v="4"/>
    <s v="US"/>
    <x v="2"/>
    <x v="4"/>
    <s v="US"/>
    <x v="0"/>
  </r>
  <r>
    <x v="1"/>
    <x v="1"/>
    <x v="1"/>
    <x v="0"/>
    <x v="21"/>
    <n v="173762"/>
    <x v="0"/>
    <s v="DE"/>
    <x v="2"/>
    <x v="0"/>
    <s v="DE"/>
    <x v="2"/>
  </r>
  <r>
    <x v="1"/>
    <x v="1"/>
    <x v="1"/>
    <x v="0"/>
    <x v="4"/>
    <n v="185000"/>
    <x v="4"/>
    <s v="US"/>
    <x v="1"/>
    <x v="4"/>
    <s v="US"/>
    <x v="0"/>
  </r>
  <r>
    <x v="1"/>
    <x v="3"/>
    <x v="3"/>
    <x v="0"/>
    <x v="13"/>
    <n v="141846"/>
    <x v="0"/>
    <s v="DE"/>
    <x v="0"/>
    <x v="0"/>
    <s v="DE"/>
    <x v="0"/>
  </r>
  <r>
    <x v="1"/>
    <x v="0"/>
    <x v="0"/>
    <x v="0"/>
    <x v="0"/>
    <n v="130000"/>
    <x v="4"/>
    <s v="US"/>
    <x v="1"/>
    <x v="4"/>
    <s v="US"/>
    <x v="0"/>
  </r>
  <r>
    <x v="1"/>
    <x v="1"/>
    <x v="1"/>
    <x v="0"/>
    <x v="5"/>
    <n v="63831"/>
    <x v="0"/>
    <s v="DE"/>
    <x v="1"/>
    <x v="0"/>
    <s v="DE"/>
    <x v="0"/>
  </r>
  <r>
    <x v="1"/>
    <x v="0"/>
    <x v="0"/>
    <x v="0"/>
    <x v="0"/>
    <n v="16904"/>
    <x v="8"/>
    <s v="IN"/>
    <x v="2"/>
    <x v="8"/>
    <s v="IN"/>
    <x v="1"/>
  </r>
  <r>
    <x v="1"/>
    <x v="1"/>
    <x v="1"/>
    <x v="0"/>
    <x v="4"/>
    <n v="66265"/>
    <x v="8"/>
    <s v="IN"/>
    <x v="0"/>
    <x v="8"/>
    <s v="IN"/>
    <x v="0"/>
  </r>
  <r>
    <x v="1"/>
    <x v="0"/>
    <x v="0"/>
    <x v="0"/>
    <x v="0"/>
    <n v="25532"/>
    <x v="43"/>
    <s v="RS"/>
    <x v="2"/>
    <x v="0"/>
    <s v="DE"/>
    <x v="1"/>
  </r>
  <r>
    <x v="1"/>
    <x v="1"/>
    <x v="1"/>
    <x v="0"/>
    <x v="8"/>
    <n v="160000"/>
    <x v="44"/>
    <s v="PR"/>
    <x v="1"/>
    <x v="4"/>
    <s v="US"/>
    <x v="1"/>
  </r>
  <r>
    <x v="1"/>
    <x v="0"/>
    <x v="0"/>
    <x v="0"/>
    <x v="10"/>
    <n v="93150"/>
    <x v="4"/>
    <s v="US"/>
    <x v="0"/>
    <x v="4"/>
    <s v="US"/>
    <x v="2"/>
  </r>
  <r>
    <x v="1"/>
    <x v="0"/>
    <x v="0"/>
    <x v="0"/>
    <x v="10"/>
    <n v="111775"/>
    <x v="4"/>
    <s v="US"/>
    <x v="0"/>
    <x v="4"/>
    <s v="US"/>
    <x v="2"/>
  </r>
  <r>
    <x v="1"/>
    <x v="0"/>
    <x v="0"/>
    <x v="0"/>
    <x v="10"/>
    <n v="28016"/>
    <x v="42"/>
    <s v="TR"/>
    <x v="2"/>
    <x v="43"/>
    <s v="TR"/>
    <x v="2"/>
  </r>
  <r>
    <x v="1"/>
    <x v="2"/>
    <x v="2"/>
    <x v="0"/>
    <x v="10"/>
    <n v="65013"/>
    <x v="0"/>
    <s v="DE"/>
    <x v="1"/>
    <x v="0"/>
    <s v="DE"/>
    <x v="2"/>
  </r>
  <r>
    <x v="1"/>
    <x v="2"/>
    <x v="2"/>
    <x v="0"/>
    <x v="10"/>
    <n v="72500"/>
    <x v="4"/>
    <s v="US"/>
    <x v="2"/>
    <x v="4"/>
    <s v="US"/>
    <x v="0"/>
  </r>
  <r>
    <x v="1"/>
    <x v="1"/>
    <x v="1"/>
    <x v="0"/>
    <x v="20"/>
    <n v="18907"/>
    <x v="28"/>
    <s v="BR"/>
    <x v="0"/>
    <x v="28"/>
    <s v="BR"/>
    <x v="2"/>
  </r>
  <r>
    <x v="1"/>
    <x v="2"/>
    <x v="2"/>
    <x v="0"/>
    <x v="11"/>
    <n v="76833"/>
    <x v="0"/>
    <s v="DE"/>
    <x v="0"/>
    <x v="0"/>
    <s v="DE"/>
    <x v="0"/>
  </r>
  <r>
    <x v="1"/>
    <x v="2"/>
    <x v="2"/>
    <x v="0"/>
    <x v="4"/>
    <n v="85000"/>
    <x v="15"/>
    <s v="NL"/>
    <x v="2"/>
    <x v="0"/>
    <s v="DE"/>
    <x v="1"/>
  </r>
  <r>
    <x v="1"/>
    <x v="1"/>
    <x v="1"/>
    <x v="0"/>
    <x v="0"/>
    <n v="77684"/>
    <x v="7"/>
    <s v="FR"/>
    <x v="1"/>
    <x v="7"/>
    <s v="FR"/>
    <x v="2"/>
  </r>
  <r>
    <x v="1"/>
    <x v="2"/>
    <x v="2"/>
    <x v="0"/>
    <x v="0"/>
    <n v="100000"/>
    <x v="4"/>
    <s v="US"/>
    <x v="2"/>
    <x v="4"/>
    <s v="US"/>
    <x v="2"/>
  </r>
  <r>
    <x v="1"/>
    <x v="2"/>
    <x v="2"/>
    <x v="0"/>
    <x v="0"/>
    <n v="58000"/>
    <x v="4"/>
    <s v="US"/>
    <x v="1"/>
    <x v="4"/>
    <s v="US"/>
    <x v="0"/>
  </r>
  <r>
    <x v="1"/>
    <x v="1"/>
    <x v="1"/>
    <x v="0"/>
    <x v="19"/>
    <n v="55000"/>
    <x v="21"/>
    <s v="ES"/>
    <x v="2"/>
    <x v="18"/>
    <s v="ES"/>
    <x v="0"/>
  </r>
  <r>
    <x v="1"/>
    <x v="1"/>
    <x v="1"/>
    <x v="0"/>
    <x v="0"/>
    <n v="20171"/>
    <x v="42"/>
    <s v="TR"/>
    <x v="1"/>
    <x v="43"/>
    <s v="TR"/>
    <x v="0"/>
  </r>
  <r>
    <x v="1"/>
    <x v="2"/>
    <x v="2"/>
    <x v="0"/>
    <x v="7"/>
    <n v="59102"/>
    <x v="45"/>
    <s v="LU"/>
    <x v="2"/>
    <x v="23"/>
    <s v="LU"/>
    <x v="0"/>
  </r>
  <r>
    <x v="1"/>
    <x v="0"/>
    <x v="0"/>
    <x v="0"/>
    <x v="10"/>
    <n v="112000"/>
    <x v="4"/>
    <s v="US"/>
    <x v="2"/>
    <x v="4"/>
    <s v="US"/>
    <x v="0"/>
  </r>
  <r>
    <x v="1"/>
    <x v="2"/>
    <x v="2"/>
    <x v="0"/>
    <x v="14"/>
    <n v="100000"/>
    <x v="46"/>
    <s v="JE"/>
    <x v="0"/>
    <x v="10"/>
    <s v="CN"/>
    <x v="0"/>
  </r>
  <r>
    <x v="1"/>
    <x v="0"/>
    <x v="0"/>
    <x v="2"/>
    <x v="10"/>
    <n v="69741"/>
    <x v="15"/>
    <s v="NL"/>
    <x v="2"/>
    <x v="13"/>
    <s v="NL"/>
    <x v="0"/>
  </r>
  <r>
    <x v="1"/>
    <x v="1"/>
    <x v="1"/>
    <x v="1"/>
    <x v="43"/>
    <n v="105000"/>
    <x v="4"/>
    <s v="US"/>
    <x v="2"/>
    <x v="4"/>
    <s v="US"/>
    <x v="2"/>
  </r>
  <r>
    <x v="1"/>
    <x v="0"/>
    <x v="0"/>
    <x v="0"/>
    <x v="14"/>
    <n v="69999"/>
    <x v="47"/>
    <s v="CZ"/>
    <x v="1"/>
    <x v="44"/>
    <s v="CZ"/>
    <x v="0"/>
  </r>
  <r>
    <x v="1"/>
    <x v="1"/>
    <x v="1"/>
    <x v="0"/>
    <x v="22"/>
    <n v="94665"/>
    <x v="8"/>
    <s v="IN"/>
    <x v="1"/>
    <x v="8"/>
    <s v="IN"/>
    <x v="0"/>
  </r>
  <r>
    <x v="1"/>
    <x v="1"/>
    <x v="1"/>
    <x v="0"/>
    <x v="23"/>
    <n v="102839"/>
    <x v="40"/>
    <s v="SI"/>
    <x v="2"/>
    <x v="39"/>
    <s v="SI"/>
    <x v="0"/>
  </r>
  <r>
    <x v="1"/>
    <x v="0"/>
    <x v="0"/>
    <x v="0"/>
    <x v="0"/>
    <n v="109000"/>
    <x v="4"/>
    <s v="US"/>
    <x v="1"/>
    <x v="4"/>
    <s v="US"/>
    <x v="0"/>
  </r>
  <r>
    <x v="1"/>
    <x v="0"/>
    <x v="0"/>
    <x v="0"/>
    <x v="4"/>
    <n v="51064"/>
    <x v="24"/>
    <s v="IT"/>
    <x v="1"/>
    <x v="21"/>
    <s v="IT"/>
    <x v="0"/>
  </r>
  <r>
    <x v="2"/>
    <x v="1"/>
    <x v="1"/>
    <x v="0"/>
    <x v="10"/>
    <n v="135000"/>
    <x v="4"/>
    <s v="US"/>
    <x v="2"/>
    <x v="4"/>
    <s v="US"/>
    <x v="2"/>
  </r>
  <r>
    <x v="2"/>
    <x v="1"/>
    <x v="1"/>
    <x v="0"/>
    <x v="5"/>
    <n v="155000"/>
    <x v="4"/>
    <s v="US"/>
    <x v="2"/>
    <x v="4"/>
    <s v="US"/>
    <x v="2"/>
  </r>
  <r>
    <x v="2"/>
    <x v="1"/>
    <x v="1"/>
    <x v="0"/>
    <x v="5"/>
    <n v="120600"/>
    <x v="4"/>
    <s v="US"/>
    <x v="2"/>
    <x v="4"/>
    <s v="US"/>
    <x v="2"/>
  </r>
  <r>
    <x v="2"/>
    <x v="0"/>
    <x v="0"/>
    <x v="0"/>
    <x v="0"/>
    <n v="130000"/>
    <x v="4"/>
    <s v="US"/>
    <x v="0"/>
    <x v="4"/>
    <s v="US"/>
    <x v="2"/>
  </r>
  <r>
    <x v="2"/>
    <x v="0"/>
    <x v="0"/>
    <x v="0"/>
    <x v="0"/>
    <n v="90000"/>
    <x v="4"/>
    <s v="US"/>
    <x v="0"/>
    <x v="4"/>
    <s v="US"/>
    <x v="2"/>
  </r>
  <r>
    <x v="2"/>
    <x v="0"/>
    <x v="0"/>
    <x v="0"/>
    <x v="10"/>
    <n v="170000"/>
    <x v="4"/>
    <s v="US"/>
    <x v="2"/>
    <x v="4"/>
    <s v="US"/>
    <x v="2"/>
  </r>
  <r>
    <x v="2"/>
    <x v="0"/>
    <x v="0"/>
    <x v="0"/>
    <x v="10"/>
    <n v="150000"/>
    <x v="4"/>
    <s v="US"/>
    <x v="2"/>
    <x v="4"/>
    <s v="US"/>
    <x v="2"/>
  </r>
  <r>
    <x v="2"/>
    <x v="1"/>
    <x v="1"/>
    <x v="0"/>
    <x v="5"/>
    <n v="102100"/>
    <x v="4"/>
    <s v="US"/>
    <x v="2"/>
    <x v="4"/>
    <s v="US"/>
    <x v="2"/>
  </r>
  <r>
    <x v="2"/>
    <x v="1"/>
    <x v="1"/>
    <x v="0"/>
    <x v="5"/>
    <n v="84900"/>
    <x v="4"/>
    <s v="US"/>
    <x v="2"/>
    <x v="4"/>
    <s v="US"/>
    <x v="2"/>
  </r>
  <r>
    <x v="2"/>
    <x v="1"/>
    <x v="1"/>
    <x v="0"/>
    <x v="0"/>
    <n v="136620"/>
    <x v="4"/>
    <s v="US"/>
    <x v="2"/>
    <x v="4"/>
    <s v="US"/>
    <x v="2"/>
  </r>
  <r>
    <x v="2"/>
    <x v="1"/>
    <x v="1"/>
    <x v="0"/>
    <x v="0"/>
    <n v="99360"/>
    <x v="4"/>
    <s v="US"/>
    <x v="2"/>
    <x v="4"/>
    <s v="US"/>
    <x v="2"/>
  </r>
  <r>
    <x v="2"/>
    <x v="1"/>
    <x v="1"/>
    <x v="0"/>
    <x v="0"/>
    <n v="117789"/>
    <x v="2"/>
    <s v="GB"/>
    <x v="0"/>
    <x v="2"/>
    <s v="GB"/>
    <x v="2"/>
  </r>
  <r>
    <x v="2"/>
    <x v="1"/>
    <x v="1"/>
    <x v="0"/>
    <x v="0"/>
    <n v="104702"/>
    <x v="2"/>
    <s v="GB"/>
    <x v="0"/>
    <x v="2"/>
    <s v="GB"/>
    <x v="2"/>
  </r>
  <r>
    <x v="2"/>
    <x v="1"/>
    <x v="1"/>
    <x v="0"/>
    <x v="0"/>
    <n v="146000"/>
    <x v="4"/>
    <s v="US"/>
    <x v="2"/>
    <x v="4"/>
    <s v="US"/>
    <x v="2"/>
  </r>
  <r>
    <x v="2"/>
    <x v="1"/>
    <x v="1"/>
    <x v="0"/>
    <x v="0"/>
    <n v="123000"/>
    <x v="4"/>
    <s v="US"/>
    <x v="2"/>
    <x v="4"/>
    <s v="US"/>
    <x v="2"/>
  </r>
  <r>
    <x v="2"/>
    <x v="2"/>
    <x v="2"/>
    <x v="0"/>
    <x v="10"/>
    <n v="52351"/>
    <x v="2"/>
    <s v="GB"/>
    <x v="2"/>
    <x v="2"/>
    <s v="GB"/>
    <x v="2"/>
  </r>
  <r>
    <x v="2"/>
    <x v="1"/>
    <x v="1"/>
    <x v="0"/>
    <x v="5"/>
    <n v="99000"/>
    <x v="4"/>
    <s v="US"/>
    <x v="0"/>
    <x v="4"/>
    <s v="US"/>
    <x v="2"/>
  </r>
  <r>
    <x v="2"/>
    <x v="1"/>
    <x v="1"/>
    <x v="0"/>
    <x v="5"/>
    <n v="116000"/>
    <x v="4"/>
    <s v="US"/>
    <x v="0"/>
    <x v="4"/>
    <s v="US"/>
    <x v="2"/>
  </r>
  <r>
    <x v="2"/>
    <x v="0"/>
    <x v="0"/>
    <x v="0"/>
    <x v="5"/>
    <n v="106260"/>
    <x v="4"/>
    <s v="US"/>
    <x v="0"/>
    <x v="4"/>
    <s v="US"/>
    <x v="2"/>
  </r>
  <r>
    <x v="2"/>
    <x v="0"/>
    <x v="0"/>
    <x v="0"/>
    <x v="5"/>
    <n v="126500"/>
    <x v="4"/>
    <s v="US"/>
    <x v="0"/>
    <x v="4"/>
    <s v="US"/>
    <x v="2"/>
  </r>
  <r>
    <x v="2"/>
    <x v="3"/>
    <x v="3"/>
    <x v="0"/>
    <x v="10"/>
    <n v="242000"/>
    <x v="4"/>
    <s v="US"/>
    <x v="2"/>
    <x v="4"/>
    <s v="US"/>
    <x v="2"/>
  </r>
  <r>
    <x v="2"/>
    <x v="3"/>
    <x v="3"/>
    <x v="0"/>
    <x v="10"/>
    <n v="200000"/>
    <x v="4"/>
    <s v="US"/>
    <x v="2"/>
    <x v="4"/>
    <s v="US"/>
    <x v="2"/>
  </r>
  <r>
    <x v="2"/>
    <x v="0"/>
    <x v="0"/>
    <x v="0"/>
    <x v="0"/>
    <n v="65438"/>
    <x v="2"/>
    <s v="GB"/>
    <x v="0"/>
    <x v="2"/>
    <s v="GB"/>
    <x v="2"/>
  </r>
  <r>
    <x v="2"/>
    <x v="0"/>
    <x v="0"/>
    <x v="0"/>
    <x v="0"/>
    <n v="39263"/>
    <x v="2"/>
    <s v="GB"/>
    <x v="0"/>
    <x v="2"/>
    <s v="GB"/>
    <x v="2"/>
  </r>
  <r>
    <x v="2"/>
    <x v="0"/>
    <x v="0"/>
    <x v="0"/>
    <x v="10"/>
    <n v="78526"/>
    <x v="2"/>
    <s v="GB"/>
    <x v="0"/>
    <x v="2"/>
    <s v="GB"/>
    <x v="2"/>
  </r>
  <r>
    <x v="2"/>
    <x v="0"/>
    <x v="0"/>
    <x v="0"/>
    <x v="10"/>
    <n v="52351"/>
    <x v="2"/>
    <s v="GB"/>
    <x v="0"/>
    <x v="2"/>
    <s v="GB"/>
    <x v="2"/>
  </r>
  <r>
    <x v="2"/>
    <x v="1"/>
    <x v="1"/>
    <x v="0"/>
    <x v="0"/>
    <n v="165220"/>
    <x v="4"/>
    <s v="US"/>
    <x v="2"/>
    <x v="4"/>
    <s v="US"/>
    <x v="2"/>
  </r>
  <r>
    <x v="2"/>
    <x v="2"/>
    <x v="2"/>
    <x v="0"/>
    <x v="10"/>
    <n v="45807"/>
    <x v="2"/>
    <s v="GB"/>
    <x v="2"/>
    <x v="2"/>
    <s v="GB"/>
    <x v="2"/>
  </r>
  <r>
    <x v="2"/>
    <x v="1"/>
    <x v="1"/>
    <x v="0"/>
    <x v="0"/>
    <n v="120160"/>
    <x v="4"/>
    <s v="US"/>
    <x v="2"/>
    <x v="4"/>
    <s v="US"/>
    <x v="2"/>
  </r>
  <r>
    <x v="2"/>
    <x v="1"/>
    <x v="1"/>
    <x v="0"/>
    <x v="5"/>
    <n v="90320"/>
    <x v="4"/>
    <s v="US"/>
    <x v="2"/>
    <x v="4"/>
    <s v="US"/>
    <x v="2"/>
  </r>
  <r>
    <x v="2"/>
    <x v="1"/>
    <x v="1"/>
    <x v="0"/>
    <x v="10"/>
    <n v="181940"/>
    <x v="4"/>
    <s v="US"/>
    <x v="0"/>
    <x v="4"/>
    <s v="US"/>
    <x v="2"/>
  </r>
  <r>
    <x v="2"/>
    <x v="1"/>
    <x v="1"/>
    <x v="0"/>
    <x v="10"/>
    <n v="132320"/>
    <x v="4"/>
    <s v="US"/>
    <x v="0"/>
    <x v="4"/>
    <s v="US"/>
    <x v="2"/>
  </r>
  <r>
    <x v="2"/>
    <x v="1"/>
    <x v="1"/>
    <x v="0"/>
    <x v="10"/>
    <n v="220110"/>
    <x v="4"/>
    <s v="US"/>
    <x v="0"/>
    <x v="4"/>
    <s v="US"/>
    <x v="2"/>
  </r>
  <r>
    <x v="2"/>
    <x v="1"/>
    <x v="1"/>
    <x v="0"/>
    <x v="10"/>
    <n v="160080"/>
    <x v="4"/>
    <s v="US"/>
    <x v="0"/>
    <x v="4"/>
    <s v="US"/>
    <x v="2"/>
  </r>
  <r>
    <x v="2"/>
    <x v="1"/>
    <x v="1"/>
    <x v="0"/>
    <x v="0"/>
    <n v="180000"/>
    <x v="4"/>
    <s v="US"/>
    <x v="0"/>
    <x v="4"/>
    <s v="US"/>
    <x v="0"/>
  </r>
  <r>
    <x v="2"/>
    <x v="1"/>
    <x v="1"/>
    <x v="0"/>
    <x v="0"/>
    <n v="120000"/>
    <x v="4"/>
    <s v="US"/>
    <x v="0"/>
    <x v="4"/>
    <s v="US"/>
    <x v="0"/>
  </r>
  <r>
    <x v="2"/>
    <x v="1"/>
    <x v="1"/>
    <x v="0"/>
    <x v="5"/>
    <n v="124190"/>
    <x v="4"/>
    <s v="US"/>
    <x v="2"/>
    <x v="4"/>
    <s v="US"/>
    <x v="2"/>
  </r>
  <r>
    <x v="2"/>
    <x v="3"/>
    <x v="3"/>
    <x v="0"/>
    <x v="5"/>
    <n v="130000"/>
    <x v="4"/>
    <s v="US"/>
    <x v="2"/>
    <x v="4"/>
    <s v="US"/>
    <x v="2"/>
  </r>
  <r>
    <x v="2"/>
    <x v="3"/>
    <x v="3"/>
    <x v="0"/>
    <x v="5"/>
    <n v="110000"/>
    <x v="4"/>
    <s v="US"/>
    <x v="2"/>
    <x v="4"/>
    <s v="US"/>
    <x v="2"/>
  </r>
  <r>
    <x v="2"/>
    <x v="1"/>
    <x v="1"/>
    <x v="0"/>
    <x v="5"/>
    <n v="170000"/>
    <x v="4"/>
    <s v="US"/>
    <x v="2"/>
    <x v="4"/>
    <s v="US"/>
    <x v="2"/>
  </r>
  <r>
    <x v="2"/>
    <x v="0"/>
    <x v="0"/>
    <x v="0"/>
    <x v="5"/>
    <n v="115500"/>
    <x v="4"/>
    <s v="US"/>
    <x v="2"/>
    <x v="4"/>
    <s v="US"/>
    <x v="2"/>
  </r>
  <r>
    <x v="2"/>
    <x v="1"/>
    <x v="1"/>
    <x v="0"/>
    <x v="5"/>
    <n v="112900"/>
    <x v="4"/>
    <s v="US"/>
    <x v="2"/>
    <x v="4"/>
    <s v="US"/>
    <x v="2"/>
  </r>
  <r>
    <x v="2"/>
    <x v="1"/>
    <x v="1"/>
    <x v="0"/>
    <x v="5"/>
    <n v="90320"/>
    <x v="4"/>
    <s v="US"/>
    <x v="2"/>
    <x v="4"/>
    <s v="US"/>
    <x v="2"/>
  </r>
  <r>
    <x v="2"/>
    <x v="1"/>
    <x v="1"/>
    <x v="0"/>
    <x v="5"/>
    <n v="112900"/>
    <x v="4"/>
    <s v="US"/>
    <x v="2"/>
    <x v="4"/>
    <s v="US"/>
    <x v="2"/>
  </r>
  <r>
    <x v="2"/>
    <x v="1"/>
    <x v="1"/>
    <x v="0"/>
    <x v="5"/>
    <n v="90320"/>
    <x v="4"/>
    <s v="US"/>
    <x v="2"/>
    <x v="4"/>
    <s v="US"/>
    <x v="2"/>
  </r>
  <r>
    <x v="2"/>
    <x v="1"/>
    <x v="1"/>
    <x v="0"/>
    <x v="10"/>
    <n v="165400"/>
    <x v="4"/>
    <s v="US"/>
    <x v="2"/>
    <x v="4"/>
    <s v="US"/>
    <x v="2"/>
  </r>
  <r>
    <x v="2"/>
    <x v="1"/>
    <x v="1"/>
    <x v="0"/>
    <x v="10"/>
    <n v="132320"/>
    <x v="4"/>
    <s v="US"/>
    <x v="2"/>
    <x v="4"/>
    <s v="US"/>
    <x v="2"/>
  </r>
  <r>
    <x v="2"/>
    <x v="0"/>
    <x v="0"/>
    <x v="0"/>
    <x v="5"/>
    <n v="167000"/>
    <x v="4"/>
    <s v="US"/>
    <x v="2"/>
    <x v="4"/>
    <s v="US"/>
    <x v="2"/>
  </r>
  <r>
    <x v="2"/>
    <x v="1"/>
    <x v="1"/>
    <x v="0"/>
    <x v="10"/>
    <n v="243900"/>
    <x v="4"/>
    <s v="US"/>
    <x v="2"/>
    <x v="4"/>
    <s v="US"/>
    <x v="2"/>
  </r>
  <r>
    <x v="2"/>
    <x v="1"/>
    <x v="1"/>
    <x v="0"/>
    <x v="5"/>
    <n v="136600"/>
    <x v="4"/>
    <s v="US"/>
    <x v="2"/>
    <x v="4"/>
    <s v="US"/>
    <x v="2"/>
  </r>
  <r>
    <x v="2"/>
    <x v="1"/>
    <x v="1"/>
    <x v="0"/>
    <x v="5"/>
    <n v="109280"/>
    <x v="4"/>
    <s v="US"/>
    <x v="2"/>
    <x v="4"/>
    <s v="US"/>
    <x v="2"/>
  </r>
  <r>
    <x v="2"/>
    <x v="1"/>
    <x v="1"/>
    <x v="0"/>
    <x v="10"/>
    <n v="128875"/>
    <x v="4"/>
    <s v="US"/>
    <x v="2"/>
    <x v="4"/>
    <s v="US"/>
    <x v="2"/>
  </r>
  <r>
    <x v="2"/>
    <x v="1"/>
    <x v="1"/>
    <x v="0"/>
    <x v="10"/>
    <n v="93700"/>
    <x v="4"/>
    <s v="US"/>
    <x v="2"/>
    <x v="4"/>
    <s v="US"/>
    <x v="2"/>
  </r>
  <r>
    <x v="2"/>
    <x v="3"/>
    <x v="3"/>
    <x v="0"/>
    <x v="37"/>
    <n v="224000"/>
    <x v="4"/>
    <s v="US"/>
    <x v="2"/>
    <x v="4"/>
    <s v="US"/>
    <x v="2"/>
  </r>
  <r>
    <x v="2"/>
    <x v="3"/>
    <x v="3"/>
    <x v="0"/>
    <x v="37"/>
    <n v="167875"/>
    <x v="4"/>
    <s v="US"/>
    <x v="2"/>
    <x v="4"/>
    <s v="US"/>
    <x v="2"/>
  </r>
  <r>
    <x v="2"/>
    <x v="3"/>
    <x v="3"/>
    <x v="0"/>
    <x v="44"/>
    <n v="175000"/>
    <x v="4"/>
    <s v="US"/>
    <x v="2"/>
    <x v="4"/>
    <s v="US"/>
    <x v="2"/>
  </r>
  <r>
    <x v="2"/>
    <x v="1"/>
    <x v="1"/>
    <x v="0"/>
    <x v="10"/>
    <n v="156600"/>
    <x v="4"/>
    <s v="US"/>
    <x v="2"/>
    <x v="4"/>
    <s v="US"/>
    <x v="2"/>
  </r>
  <r>
    <x v="2"/>
    <x v="1"/>
    <x v="1"/>
    <x v="0"/>
    <x v="10"/>
    <n v="108800"/>
    <x v="4"/>
    <s v="US"/>
    <x v="0"/>
    <x v="4"/>
    <s v="US"/>
    <x v="2"/>
  </r>
  <r>
    <x v="2"/>
    <x v="1"/>
    <x v="1"/>
    <x v="0"/>
    <x v="0"/>
    <n v="95550"/>
    <x v="4"/>
    <s v="US"/>
    <x v="0"/>
    <x v="4"/>
    <s v="US"/>
    <x v="2"/>
  </r>
  <r>
    <x v="2"/>
    <x v="1"/>
    <x v="1"/>
    <x v="0"/>
    <x v="10"/>
    <n v="113000"/>
    <x v="4"/>
    <s v="US"/>
    <x v="0"/>
    <x v="4"/>
    <s v="US"/>
    <x v="0"/>
  </r>
  <r>
    <x v="2"/>
    <x v="1"/>
    <x v="1"/>
    <x v="0"/>
    <x v="5"/>
    <n v="135000"/>
    <x v="4"/>
    <s v="US"/>
    <x v="2"/>
    <x v="4"/>
    <s v="US"/>
    <x v="2"/>
  </r>
  <r>
    <x v="2"/>
    <x v="1"/>
    <x v="1"/>
    <x v="0"/>
    <x v="22"/>
    <n v="161342"/>
    <x v="4"/>
    <s v="US"/>
    <x v="2"/>
    <x v="4"/>
    <s v="US"/>
    <x v="2"/>
  </r>
  <r>
    <x v="2"/>
    <x v="1"/>
    <x v="1"/>
    <x v="0"/>
    <x v="22"/>
    <n v="137141"/>
    <x v="4"/>
    <s v="US"/>
    <x v="2"/>
    <x v="4"/>
    <s v="US"/>
    <x v="2"/>
  </r>
  <r>
    <x v="2"/>
    <x v="1"/>
    <x v="1"/>
    <x v="0"/>
    <x v="0"/>
    <n v="167000"/>
    <x v="4"/>
    <s v="US"/>
    <x v="2"/>
    <x v="4"/>
    <s v="US"/>
    <x v="2"/>
  </r>
  <r>
    <x v="2"/>
    <x v="1"/>
    <x v="1"/>
    <x v="0"/>
    <x v="0"/>
    <n v="123000"/>
    <x v="4"/>
    <s v="US"/>
    <x v="2"/>
    <x v="4"/>
    <s v="US"/>
    <x v="2"/>
  </r>
  <r>
    <x v="2"/>
    <x v="1"/>
    <x v="1"/>
    <x v="0"/>
    <x v="10"/>
    <n v="78526"/>
    <x v="2"/>
    <s v="GB"/>
    <x v="0"/>
    <x v="2"/>
    <s v="GB"/>
    <x v="2"/>
  </r>
  <r>
    <x v="2"/>
    <x v="1"/>
    <x v="1"/>
    <x v="0"/>
    <x v="10"/>
    <n v="65438"/>
    <x v="2"/>
    <s v="GB"/>
    <x v="0"/>
    <x v="2"/>
    <s v="GB"/>
    <x v="2"/>
  </r>
  <r>
    <x v="2"/>
    <x v="1"/>
    <x v="1"/>
    <x v="0"/>
    <x v="0"/>
    <n v="150000"/>
    <x v="4"/>
    <s v="US"/>
    <x v="0"/>
    <x v="4"/>
    <s v="US"/>
    <x v="2"/>
  </r>
  <r>
    <x v="2"/>
    <x v="1"/>
    <x v="1"/>
    <x v="0"/>
    <x v="0"/>
    <n v="211500"/>
    <x v="4"/>
    <s v="US"/>
    <x v="2"/>
    <x v="4"/>
    <s v="US"/>
    <x v="2"/>
  </r>
  <r>
    <x v="2"/>
    <x v="1"/>
    <x v="1"/>
    <x v="0"/>
    <x v="39"/>
    <n v="192400"/>
    <x v="17"/>
    <s v="CA"/>
    <x v="2"/>
    <x v="15"/>
    <s v="CA"/>
    <x v="2"/>
  </r>
  <r>
    <x v="2"/>
    <x v="1"/>
    <x v="1"/>
    <x v="0"/>
    <x v="39"/>
    <n v="90700"/>
    <x v="17"/>
    <s v="CA"/>
    <x v="2"/>
    <x v="15"/>
    <s v="CA"/>
    <x v="2"/>
  </r>
  <r>
    <x v="2"/>
    <x v="1"/>
    <x v="1"/>
    <x v="0"/>
    <x v="5"/>
    <n v="130000"/>
    <x v="17"/>
    <s v="CA"/>
    <x v="2"/>
    <x v="15"/>
    <s v="CA"/>
    <x v="2"/>
  </r>
  <r>
    <x v="2"/>
    <x v="1"/>
    <x v="1"/>
    <x v="0"/>
    <x v="5"/>
    <n v="61300"/>
    <x v="17"/>
    <s v="CA"/>
    <x v="2"/>
    <x v="15"/>
    <s v="CA"/>
    <x v="2"/>
  </r>
  <r>
    <x v="2"/>
    <x v="1"/>
    <x v="1"/>
    <x v="0"/>
    <x v="5"/>
    <n v="130000"/>
    <x v="17"/>
    <s v="CA"/>
    <x v="2"/>
    <x v="15"/>
    <s v="CA"/>
    <x v="2"/>
  </r>
  <r>
    <x v="2"/>
    <x v="1"/>
    <x v="1"/>
    <x v="0"/>
    <x v="5"/>
    <n v="61300"/>
    <x v="17"/>
    <s v="CA"/>
    <x v="2"/>
    <x v="15"/>
    <s v="CA"/>
    <x v="2"/>
  </r>
  <r>
    <x v="2"/>
    <x v="1"/>
    <x v="1"/>
    <x v="0"/>
    <x v="10"/>
    <n v="160000"/>
    <x v="4"/>
    <s v="US"/>
    <x v="0"/>
    <x v="4"/>
    <s v="US"/>
    <x v="0"/>
  </r>
  <r>
    <x v="2"/>
    <x v="1"/>
    <x v="1"/>
    <x v="0"/>
    <x v="0"/>
    <n v="138600"/>
    <x v="4"/>
    <s v="US"/>
    <x v="2"/>
    <x v="4"/>
    <s v="US"/>
    <x v="2"/>
  </r>
  <r>
    <x v="2"/>
    <x v="1"/>
    <x v="1"/>
    <x v="0"/>
    <x v="10"/>
    <n v="136000"/>
    <x v="4"/>
    <s v="US"/>
    <x v="0"/>
    <x v="4"/>
    <s v="US"/>
    <x v="2"/>
  </r>
  <r>
    <x v="2"/>
    <x v="0"/>
    <x v="0"/>
    <x v="0"/>
    <x v="5"/>
    <n v="58000"/>
    <x v="4"/>
    <s v="US"/>
    <x v="0"/>
    <x v="4"/>
    <s v="US"/>
    <x v="1"/>
  </r>
  <r>
    <x v="2"/>
    <x v="3"/>
    <x v="3"/>
    <x v="0"/>
    <x v="44"/>
    <n v="135000"/>
    <x v="4"/>
    <s v="US"/>
    <x v="2"/>
    <x v="4"/>
    <s v="US"/>
    <x v="2"/>
  </r>
  <r>
    <x v="2"/>
    <x v="1"/>
    <x v="1"/>
    <x v="0"/>
    <x v="0"/>
    <n v="170000"/>
    <x v="4"/>
    <s v="US"/>
    <x v="2"/>
    <x v="4"/>
    <s v="US"/>
    <x v="2"/>
  </r>
  <r>
    <x v="2"/>
    <x v="1"/>
    <x v="1"/>
    <x v="0"/>
    <x v="0"/>
    <n v="123000"/>
    <x v="4"/>
    <s v="US"/>
    <x v="2"/>
    <x v="4"/>
    <s v="US"/>
    <x v="2"/>
  </r>
  <r>
    <x v="2"/>
    <x v="1"/>
    <x v="1"/>
    <x v="0"/>
    <x v="4"/>
    <n v="189650"/>
    <x v="4"/>
    <s v="US"/>
    <x v="0"/>
    <x v="4"/>
    <s v="US"/>
    <x v="2"/>
  </r>
  <r>
    <x v="2"/>
    <x v="1"/>
    <x v="1"/>
    <x v="0"/>
    <x v="4"/>
    <n v="164996"/>
    <x v="4"/>
    <s v="US"/>
    <x v="0"/>
    <x v="4"/>
    <s v="US"/>
    <x v="2"/>
  </r>
  <r>
    <x v="2"/>
    <x v="0"/>
    <x v="0"/>
    <x v="0"/>
    <x v="45"/>
    <n v="54957"/>
    <x v="13"/>
    <s v="GR"/>
    <x v="0"/>
    <x v="11"/>
    <s v="GR"/>
    <x v="2"/>
  </r>
  <r>
    <x v="2"/>
    <x v="0"/>
    <x v="0"/>
    <x v="0"/>
    <x v="45"/>
    <n v="54957"/>
    <x v="13"/>
    <s v="GR"/>
    <x v="0"/>
    <x v="11"/>
    <s v="GR"/>
    <x v="2"/>
  </r>
  <r>
    <x v="2"/>
    <x v="3"/>
    <x v="3"/>
    <x v="0"/>
    <x v="8"/>
    <n v="118187"/>
    <x v="17"/>
    <s v="CA"/>
    <x v="2"/>
    <x v="15"/>
    <s v="CA"/>
    <x v="1"/>
  </r>
  <r>
    <x v="2"/>
    <x v="1"/>
    <x v="1"/>
    <x v="0"/>
    <x v="5"/>
    <n v="132000"/>
    <x v="4"/>
    <s v="US"/>
    <x v="0"/>
    <x v="4"/>
    <s v="US"/>
    <x v="2"/>
  </r>
  <r>
    <x v="2"/>
    <x v="1"/>
    <x v="1"/>
    <x v="0"/>
    <x v="10"/>
    <n v="165400"/>
    <x v="4"/>
    <s v="US"/>
    <x v="2"/>
    <x v="4"/>
    <s v="US"/>
    <x v="2"/>
  </r>
  <r>
    <x v="2"/>
    <x v="1"/>
    <x v="1"/>
    <x v="0"/>
    <x v="39"/>
    <n v="208775"/>
    <x v="4"/>
    <s v="US"/>
    <x v="2"/>
    <x v="4"/>
    <s v="US"/>
    <x v="2"/>
  </r>
  <r>
    <x v="2"/>
    <x v="1"/>
    <x v="1"/>
    <x v="0"/>
    <x v="39"/>
    <n v="147800"/>
    <x v="4"/>
    <s v="US"/>
    <x v="2"/>
    <x v="4"/>
    <s v="US"/>
    <x v="2"/>
  </r>
  <r>
    <x v="2"/>
    <x v="1"/>
    <x v="1"/>
    <x v="0"/>
    <x v="10"/>
    <n v="136994"/>
    <x v="4"/>
    <s v="US"/>
    <x v="2"/>
    <x v="4"/>
    <s v="US"/>
    <x v="2"/>
  </r>
  <r>
    <x v="2"/>
    <x v="1"/>
    <x v="1"/>
    <x v="0"/>
    <x v="10"/>
    <n v="101570"/>
    <x v="4"/>
    <s v="US"/>
    <x v="2"/>
    <x v="4"/>
    <s v="US"/>
    <x v="2"/>
  </r>
  <r>
    <x v="2"/>
    <x v="1"/>
    <x v="1"/>
    <x v="0"/>
    <x v="5"/>
    <n v="128875"/>
    <x v="4"/>
    <s v="US"/>
    <x v="2"/>
    <x v="4"/>
    <s v="US"/>
    <x v="2"/>
  </r>
  <r>
    <x v="2"/>
    <x v="1"/>
    <x v="1"/>
    <x v="0"/>
    <x v="5"/>
    <n v="93700"/>
    <x v="4"/>
    <s v="US"/>
    <x v="2"/>
    <x v="4"/>
    <s v="US"/>
    <x v="2"/>
  </r>
  <r>
    <x v="2"/>
    <x v="3"/>
    <x v="3"/>
    <x v="0"/>
    <x v="46"/>
    <n v="79039"/>
    <x v="8"/>
    <s v="IN"/>
    <x v="1"/>
    <x v="8"/>
    <s v="IN"/>
    <x v="0"/>
  </r>
  <r>
    <x v="2"/>
    <x v="1"/>
    <x v="1"/>
    <x v="0"/>
    <x v="10"/>
    <n v="132320"/>
    <x v="4"/>
    <s v="US"/>
    <x v="2"/>
    <x v="4"/>
    <s v="US"/>
    <x v="2"/>
  </r>
  <r>
    <x v="2"/>
    <x v="2"/>
    <x v="2"/>
    <x v="0"/>
    <x v="4"/>
    <n v="37300"/>
    <x v="2"/>
    <s v="GB"/>
    <x v="2"/>
    <x v="2"/>
    <s v="GB"/>
    <x v="0"/>
  </r>
  <r>
    <x v="2"/>
    <x v="1"/>
    <x v="1"/>
    <x v="0"/>
    <x v="5"/>
    <n v="164000"/>
    <x v="4"/>
    <s v="US"/>
    <x v="0"/>
    <x v="4"/>
    <s v="US"/>
    <x v="2"/>
  </r>
  <r>
    <x v="2"/>
    <x v="1"/>
    <x v="1"/>
    <x v="0"/>
    <x v="10"/>
    <n v="155000"/>
    <x v="4"/>
    <s v="US"/>
    <x v="2"/>
    <x v="4"/>
    <s v="US"/>
    <x v="2"/>
  </r>
  <r>
    <x v="2"/>
    <x v="0"/>
    <x v="0"/>
    <x v="0"/>
    <x v="4"/>
    <n v="124333"/>
    <x v="2"/>
    <s v="GB"/>
    <x v="0"/>
    <x v="2"/>
    <s v="GB"/>
    <x v="2"/>
  </r>
  <r>
    <x v="2"/>
    <x v="0"/>
    <x v="0"/>
    <x v="0"/>
    <x v="4"/>
    <n v="98158"/>
    <x v="2"/>
    <s v="GB"/>
    <x v="0"/>
    <x v="2"/>
    <s v="GB"/>
    <x v="2"/>
  </r>
  <r>
    <x v="2"/>
    <x v="0"/>
    <x v="0"/>
    <x v="0"/>
    <x v="19"/>
    <n v="120000"/>
    <x v="4"/>
    <s v="US"/>
    <x v="0"/>
    <x v="4"/>
    <s v="US"/>
    <x v="2"/>
  </r>
  <r>
    <x v="2"/>
    <x v="1"/>
    <x v="1"/>
    <x v="0"/>
    <x v="5"/>
    <n v="112900"/>
    <x v="4"/>
    <s v="US"/>
    <x v="2"/>
    <x v="4"/>
    <s v="US"/>
    <x v="2"/>
  </r>
  <r>
    <x v="2"/>
    <x v="1"/>
    <x v="1"/>
    <x v="0"/>
    <x v="5"/>
    <n v="90320"/>
    <x v="4"/>
    <s v="US"/>
    <x v="2"/>
    <x v="4"/>
    <s v="US"/>
    <x v="2"/>
  </r>
  <r>
    <x v="2"/>
    <x v="1"/>
    <x v="1"/>
    <x v="0"/>
    <x v="36"/>
    <n v="145000"/>
    <x v="4"/>
    <s v="US"/>
    <x v="2"/>
    <x v="4"/>
    <s v="US"/>
    <x v="2"/>
  </r>
  <r>
    <x v="2"/>
    <x v="1"/>
    <x v="1"/>
    <x v="0"/>
    <x v="36"/>
    <n v="105400"/>
    <x v="4"/>
    <s v="US"/>
    <x v="2"/>
    <x v="4"/>
    <s v="US"/>
    <x v="2"/>
  </r>
  <r>
    <x v="2"/>
    <x v="0"/>
    <x v="0"/>
    <x v="0"/>
    <x v="4"/>
    <n v="87932"/>
    <x v="7"/>
    <s v="FR"/>
    <x v="2"/>
    <x v="0"/>
    <s v="DE"/>
    <x v="2"/>
  </r>
  <r>
    <x v="2"/>
    <x v="0"/>
    <x v="0"/>
    <x v="0"/>
    <x v="10"/>
    <n v="117789"/>
    <x v="2"/>
    <s v="GB"/>
    <x v="0"/>
    <x v="2"/>
    <s v="GB"/>
    <x v="2"/>
  </r>
  <r>
    <x v="2"/>
    <x v="1"/>
    <x v="1"/>
    <x v="0"/>
    <x v="0"/>
    <n v="215300"/>
    <x v="4"/>
    <s v="US"/>
    <x v="2"/>
    <x v="4"/>
    <s v="US"/>
    <x v="0"/>
  </r>
  <r>
    <x v="2"/>
    <x v="1"/>
    <x v="1"/>
    <x v="0"/>
    <x v="0"/>
    <n v="158200"/>
    <x v="4"/>
    <s v="US"/>
    <x v="2"/>
    <x v="4"/>
    <s v="US"/>
    <x v="0"/>
  </r>
  <r>
    <x v="2"/>
    <x v="1"/>
    <x v="1"/>
    <x v="0"/>
    <x v="10"/>
    <n v="209100"/>
    <x v="4"/>
    <s v="US"/>
    <x v="2"/>
    <x v="4"/>
    <s v="US"/>
    <x v="0"/>
  </r>
  <r>
    <x v="2"/>
    <x v="1"/>
    <x v="1"/>
    <x v="0"/>
    <x v="10"/>
    <n v="154600"/>
    <x v="4"/>
    <s v="US"/>
    <x v="2"/>
    <x v="4"/>
    <s v="US"/>
    <x v="0"/>
  </r>
  <r>
    <x v="2"/>
    <x v="1"/>
    <x v="1"/>
    <x v="0"/>
    <x v="5"/>
    <n v="115934"/>
    <x v="4"/>
    <s v="US"/>
    <x v="0"/>
    <x v="4"/>
    <s v="US"/>
    <x v="2"/>
  </r>
  <r>
    <x v="2"/>
    <x v="1"/>
    <x v="1"/>
    <x v="0"/>
    <x v="5"/>
    <n v="81666"/>
    <x v="4"/>
    <s v="US"/>
    <x v="0"/>
    <x v="4"/>
    <s v="US"/>
    <x v="2"/>
  </r>
  <r>
    <x v="2"/>
    <x v="1"/>
    <x v="1"/>
    <x v="0"/>
    <x v="10"/>
    <n v="175000"/>
    <x v="4"/>
    <s v="US"/>
    <x v="2"/>
    <x v="4"/>
    <s v="US"/>
    <x v="2"/>
  </r>
  <r>
    <x v="2"/>
    <x v="0"/>
    <x v="0"/>
    <x v="0"/>
    <x v="10"/>
    <n v="98158"/>
    <x v="2"/>
    <s v="GB"/>
    <x v="0"/>
    <x v="2"/>
    <s v="GB"/>
    <x v="2"/>
  </r>
  <r>
    <x v="2"/>
    <x v="0"/>
    <x v="0"/>
    <x v="0"/>
    <x v="5"/>
    <n v="58000"/>
    <x v="4"/>
    <s v="US"/>
    <x v="0"/>
    <x v="4"/>
    <s v="US"/>
    <x v="1"/>
  </r>
  <r>
    <x v="2"/>
    <x v="1"/>
    <x v="1"/>
    <x v="0"/>
    <x v="10"/>
    <n v="183600"/>
    <x v="4"/>
    <s v="US"/>
    <x v="2"/>
    <x v="4"/>
    <s v="US"/>
    <x v="0"/>
  </r>
  <r>
    <x v="2"/>
    <x v="0"/>
    <x v="0"/>
    <x v="0"/>
    <x v="5"/>
    <n v="52351"/>
    <x v="2"/>
    <s v="GB"/>
    <x v="2"/>
    <x v="2"/>
    <s v="GB"/>
    <x v="2"/>
  </r>
  <r>
    <x v="2"/>
    <x v="1"/>
    <x v="1"/>
    <x v="0"/>
    <x v="0"/>
    <n v="180000"/>
    <x v="4"/>
    <s v="US"/>
    <x v="2"/>
    <x v="4"/>
    <s v="US"/>
    <x v="2"/>
  </r>
  <r>
    <x v="2"/>
    <x v="0"/>
    <x v="0"/>
    <x v="0"/>
    <x v="0"/>
    <n v="71982"/>
    <x v="2"/>
    <s v="GB"/>
    <x v="0"/>
    <x v="2"/>
    <s v="GB"/>
    <x v="2"/>
  </r>
  <r>
    <x v="2"/>
    <x v="0"/>
    <x v="0"/>
    <x v="0"/>
    <x v="0"/>
    <n v="45807"/>
    <x v="2"/>
    <s v="GB"/>
    <x v="0"/>
    <x v="2"/>
    <s v="GB"/>
    <x v="2"/>
  </r>
  <r>
    <x v="2"/>
    <x v="0"/>
    <x v="0"/>
    <x v="0"/>
    <x v="10"/>
    <n v="65949"/>
    <x v="13"/>
    <s v="GR"/>
    <x v="2"/>
    <x v="11"/>
    <s v="GR"/>
    <x v="2"/>
  </r>
  <r>
    <x v="2"/>
    <x v="0"/>
    <x v="0"/>
    <x v="0"/>
    <x v="10"/>
    <n v="49461"/>
    <x v="13"/>
    <s v="GR"/>
    <x v="2"/>
    <x v="11"/>
    <s v="GR"/>
    <x v="2"/>
  </r>
  <r>
    <x v="2"/>
    <x v="0"/>
    <x v="0"/>
    <x v="0"/>
    <x v="10"/>
    <n v="78526"/>
    <x v="2"/>
    <s v="GB"/>
    <x v="2"/>
    <x v="2"/>
    <s v="GB"/>
    <x v="2"/>
  </r>
  <r>
    <x v="2"/>
    <x v="0"/>
    <x v="0"/>
    <x v="0"/>
    <x v="10"/>
    <n v="58894"/>
    <x v="2"/>
    <s v="GB"/>
    <x v="2"/>
    <x v="2"/>
    <s v="GB"/>
    <x v="2"/>
  </r>
  <r>
    <x v="2"/>
    <x v="1"/>
    <x v="1"/>
    <x v="0"/>
    <x v="0"/>
    <n v="260000"/>
    <x v="4"/>
    <s v="US"/>
    <x v="2"/>
    <x v="4"/>
    <s v="US"/>
    <x v="2"/>
  </r>
  <r>
    <x v="2"/>
    <x v="1"/>
    <x v="1"/>
    <x v="0"/>
    <x v="32"/>
    <n v="60000"/>
    <x v="48"/>
    <s v="AR"/>
    <x v="2"/>
    <x v="14"/>
    <s v="MX"/>
    <x v="0"/>
  </r>
  <r>
    <x v="2"/>
    <x v="0"/>
    <x v="0"/>
    <x v="0"/>
    <x v="10"/>
    <n v="63900"/>
    <x v="4"/>
    <s v="US"/>
    <x v="0"/>
    <x v="4"/>
    <s v="US"/>
    <x v="2"/>
  </r>
  <r>
    <x v="2"/>
    <x v="0"/>
    <x v="0"/>
    <x v="0"/>
    <x v="1"/>
    <n v="160000"/>
    <x v="4"/>
    <s v="US"/>
    <x v="2"/>
    <x v="4"/>
    <s v="US"/>
    <x v="0"/>
  </r>
  <r>
    <x v="2"/>
    <x v="0"/>
    <x v="0"/>
    <x v="0"/>
    <x v="1"/>
    <n v="112300"/>
    <x v="4"/>
    <s v="US"/>
    <x v="2"/>
    <x v="4"/>
    <s v="US"/>
    <x v="0"/>
  </r>
  <r>
    <x v="2"/>
    <x v="0"/>
    <x v="0"/>
    <x v="0"/>
    <x v="22"/>
    <n v="241000"/>
    <x v="4"/>
    <s v="US"/>
    <x v="2"/>
    <x v="4"/>
    <s v="US"/>
    <x v="2"/>
  </r>
  <r>
    <x v="2"/>
    <x v="0"/>
    <x v="0"/>
    <x v="0"/>
    <x v="22"/>
    <n v="159000"/>
    <x v="4"/>
    <s v="US"/>
    <x v="2"/>
    <x v="4"/>
    <s v="US"/>
    <x v="2"/>
  </r>
  <r>
    <x v="2"/>
    <x v="1"/>
    <x v="1"/>
    <x v="0"/>
    <x v="0"/>
    <n v="180000"/>
    <x v="4"/>
    <s v="US"/>
    <x v="0"/>
    <x v="4"/>
    <s v="US"/>
    <x v="2"/>
  </r>
  <r>
    <x v="2"/>
    <x v="1"/>
    <x v="1"/>
    <x v="0"/>
    <x v="0"/>
    <n v="80000"/>
    <x v="4"/>
    <s v="US"/>
    <x v="0"/>
    <x v="4"/>
    <s v="US"/>
    <x v="2"/>
  </r>
  <r>
    <x v="2"/>
    <x v="0"/>
    <x v="0"/>
    <x v="0"/>
    <x v="10"/>
    <n v="82900"/>
    <x v="4"/>
    <s v="US"/>
    <x v="0"/>
    <x v="4"/>
    <s v="US"/>
    <x v="2"/>
  </r>
  <r>
    <x v="2"/>
    <x v="1"/>
    <x v="1"/>
    <x v="0"/>
    <x v="10"/>
    <n v="100800"/>
    <x v="4"/>
    <s v="US"/>
    <x v="2"/>
    <x v="4"/>
    <s v="US"/>
    <x v="0"/>
  </r>
  <r>
    <x v="2"/>
    <x v="0"/>
    <x v="0"/>
    <x v="0"/>
    <x v="10"/>
    <n v="49461"/>
    <x v="21"/>
    <s v="ES"/>
    <x v="2"/>
    <x v="18"/>
    <s v="ES"/>
    <x v="2"/>
  </r>
  <r>
    <x v="2"/>
    <x v="1"/>
    <x v="1"/>
    <x v="0"/>
    <x v="0"/>
    <n v="140400"/>
    <x v="4"/>
    <s v="US"/>
    <x v="0"/>
    <x v="4"/>
    <s v="US"/>
    <x v="0"/>
  </r>
  <r>
    <x v="2"/>
    <x v="0"/>
    <x v="0"/>
    <x v="0"/>
    <x v="5"/>
    <n v="39263"/>
    <x v="2"/>
    <s v="GB"/>
    <x v="2"/>
    <x v="2"/>
    <s v="GB"/>
    <x v="2"/>
  </r>
  <r>
    <x v="2"/>
    <x v="0"/>
    <x v="0"/>
    <x v="0"/>
    <x v="5"/>
    <n v="43966"/>
    <x v="21"/>
    <s v="ES"/>
    <x v="2"/>
    <x v="18"/>
    <s v="ES"/>
    <x v="2"/>
  </r>
  <r>
    <x v="2"/>
    <x v="0"/>
    <x v="0"/>
    <x v="0"/>
    <x v="5"/>
    <n v="32974"/>
    <x v="21"/>
    <s v="ES"/>
    <x v="2"/>
    <x v="18"/>
    <s v="ES"/>
    <x v="2"/>
  </r>
  <r>
    <x v="2"/>
    <x v="0"/>
    <x v="0"/>
    <x v="0"/>
    <x v="10"/>
    <n v="87932"/>
    <x v="21"/>
    <s v="ES"/>
    <x v="2"/>
    <x v="18"/>
    <s v="ES"/>
    <x v="2"/>
  </r>
  <r>
    <x v="2"/>
    <x v="0"/>
    <x v="0"/>
    <x v="0"/>
    <x v="10"/>
    <n v="76940"/>
    <x v="21"/>
    <s v="ES"/>
    <x v="2"/>
    <x v="18"/>
    <s v="ES"/>
    <x v="2"/>
  </r>
  <r>
    <x v="2"/>
    <x v="0"/>
    <x v="0"/>
    <x v="0"/>
    <x v="10"/>
    <n v="104702"/>
    <x v="2"/>
    <s v="GB"/>
    <x v="2"/>
    <x v="2"/>
    <s v="GB"/>
    <x v="2"/>
  </r>
  <r>
    <x v="2"/>
    <x v="0"/>
    <x v="0"/>
    <x v="0"/>
    <x v="10"/>
    <n v="91614"/>
    <x v="2"/>
    <s v="GB"/>
    <x v="2"/>
    <x v="2"/>
    <s v="GB"/>
    <x v="2"/>
  </r>
  <r>
    <x v="2"/>
    <x v="0"/>
    <x v="0"/>
    <x v="0"/>
    <x v="10"/>
    <n v="65949"/>
    <x v="21"/>
    <s v="ES"/>
    <x v="2"/>
    <x v="18"/>
    <s v="ES"/>
    <x v="2"/>
  </r>
  <r>
    <x v="2"/>
    <x v="0"/>
    <x v="0"/>
    <x v="0"/>
    <x v="10"/>
    <n v="87932"/>
    <x v="13"/>
    <s v="GR"/>
    <x v="2"/>
    <x v="11"/>
    <s v="GR"/>
    <x v="2"/>
  </r>
  <r>
    <x v="2"/>
    <x v="1"/>
    <x v="1"/>
    <x v="0"/>
    <x v="4"/>
    <n v="189650"/>
    <x v="4"/>
    <s v="US"/>
    <x v="0"/>
    <x v="4"/>
    <s v="US"/>
    <x v="2"/>
  </r>
  <r>
    <x v="2"/>
    <x v="1"/>
    <x v="1"/>
    <x v="0"/>
    <x v="4"/>
    <n v="164996"/>
    <x v="4"/>
    <s v="US"/>
    <x v="0"/>
    <x v="4"/>
    <s v="US"/>
    <x v="2"/>
  </r>
  <r>
    <x v="2"/>
    <x v="0"/>
    <x v="0"/>
    <x v="0"/>
    <x v="5"/>
    <n v="43966"/>
    <x v="13"/>
    <s v="GR"/>
    <x v="2"/>
    <x v="11"/>
    <s v="GR"/>
    <x v="2"/>
  </r>
  <r>
    <x v="2"/>
    <x v="0"/>
    <x v="0"/>
    <x v="0"/>
    <x v="5"/>
    <n v="32974"/>
    <x v="13"/>
    <s v="GR"/>
    <x v="2"/>
    <x v="11"/>
    <s v="GR"/>
    <x v="2"/>
  </r>
  <r>
    <x v="2"/>
    <x v="0"/>
    <x v="0"/>
    <x v="0"/>
    <x v="10"/>
    <n v="98158"/>
    <x v="2"/>
    <s v="GB"/>
    <x v="2"/>
    <x v="2"/>
    <s v="GB"/>
    <x v="2"/>
  </r>
  <r>
    <x v="2"/>
    <x v="0"/>
    <x v="0"/>
    <x v="0"/>
    <x v="10"/>
    <n v="78526"/>
    <x v="2"/>
    <s v="GB"/>
    <x v="2"/>
    <x v="2"/>
    <s v="GB"/>
    <x v="2"/>
  </r>
  <r>
    <x v="2"/>
    <x v="1"/>
    <x v="1"/>
    <x v="0"/>
    <x v="0"/>
    <n v="215300"/>
    <x v="4"/>
    <s v="US"/>
    <x v="0"/>
    <x v="4"/>
    <s v="US"/>
    <x v="0"/>
  </r>
  <r>
    <x v="2"/>
    <x v="0"/>
    <x v="0"/>
    <x v="0"/>
    <x v="10"/>
    <n v="76940"/>
    <x v="13"/>
    <s v="GR"/>
    <x v="2"/>
    <x v="11"/>
    <s v="GR"/>
    <x v="2"/>
  </r>
  <r>
    <x v="2"/>
    <x v="1"/>
    <x v="1"/>
    <x v="0"/>
    <x v="10"/>
    <n v="209100"/>
    <x v="4"/>
    <s v="US"/>
    <x v="2"/>
    <x v="4"/>
    <s v="US"/>
    <x v="0"/>
  </r>
  <r>
    <x v="2"/>
    <x v="1"/>
    <x v="1"/>
    <x v="0"/>
    <x v="10"/>
    <n v="154600"/>
    <x v="4"/>
    <s v="US"/>
    <x v="2"/>
    <x v="4"/>
    <s v="US"/>
    <x v="0"/>
  </r>
  <r>
    <x v="2"/>
    <x v="1"/>
    <x v="1"/>
    <x v="0"/>
    <x v="10"/>
    <n v="180000"/>
    <x v="4"/>
    <s v="US"/>
    <x v="2"/>
    <x v="4"/>
    <s v="US"/>
    <x v="2"/>
  </r>
  <r>
    <x v="2"/>
    <x v="2"/>
    <x v="2"/>
    <x v="0"/>
    <x v="18"/>
    <n v="21983"/>
    <x v="11"/>
    <s v="PT"/>
    <x v="2"/>
    <x v="19"/>
    <s v="PT"/>
    <x v="0"/>
  </r>
  <r>
    <x v="2"/>
    <x v="1"/>
    <x v="1"/>
    <x v="0"/>
    <x v="10"/>
    <n v="80000"/>
    <x v="4"/>
    <s v="US"/>
    <x v="2"/>
    <x v="4"/>
    <s v="US"/>
    <x v="2"/>
  </r>
  <r>
    <x v="2"/>
    <x v="0"/>
    <x v="0"/>
    <x v="0"/>
    <x v="34"/>
    <n v="78791"/>
    <x v="17"/>
    <s v="CA"/>
    <x v="2"/>
    <x v="15"/>
    <s v="CA"/>
    <x v="2"/>
  </r>
  <r>
    <x v="2"/>
    <x v="3"/>
    <x v="3"/>
    <x v="0"/>
    <x v="13"/>
    <n v="196979"/>
    <x v="17"/>
    <s v="CA"/>
    <x v="1"/>
    <x v="15"/>
    <s v="CA"/>
    <x v="0"/>
  </r>
  <r>
    <x v="2"/>
    <x v="0"/>
    <x v="0"/>
    <x v="0"/>
    <x v="4"/>
    <n v="120000"/>
    <x v="4"/>
    <s v="US"/>
    <x v="2"/>
    <x v="4"/>
    <s v="US"/>
    <x v="1"/>
  </r>
  <r>
    <x v="2"/>
    <x v="2"/>
    <x v="2"/>
    <x v="0"/>
    <x v="20"/>
    <n v="125000"/>
    <x v="4"/>
    <s v="US"/>
    <x v="0"/>
    <x v="4"/>
    <s v="US"/>
    <x v="2"/>
  </r>
  <r>
    <x v="2"/>
    <x v="0"/>
    <x v="0"/>
    <x v="0"/>
    <x v="47"/>
    <n v="37236"/>
    <x v="4"/>
    <s v="US"/>
    <x v="1"/>
    <x v="4"/>
    <s v="US"/>
    <x v="0"/>
  </r>
  <r>
    <x v="2"/>
    <x v="1"/>
    <x v="1"/>
    <x v="0"/>
    <x v="10"/>
    <n v="105000"/>
    <x v="4"/>
    <s v="US"/>
    <x v="2"/>
    <x v="4"/>
    <s v="US"/>
    <x v="2"/>
  </r>
  <r>
    <x v="2"/>
    <x v="1"/>
    <x v="1"/>
    <x v="0"/>
    <x v="48"/>
    <n v="87932"/>
    <x v="0"/>
    <s v="DE"/>
    <x v="0"/>
    <x v="0"/>
    <s v="DE"/>
    <x v="2"/>
  </r>
  <r>
    <x v="2"/>
    <x v="0"/>
    <x v="0"/>
    <x v="0"/>
    <x v="7"/>
    <n v="18442"/>
    <x v="8"/>
    <s v="IN"/>
    <x v="2"/>
    <x v="8"/>
    <s v="IN"/>
    <x v="2"/>
  </r>
  <r>
    <x v="2"/>
    <x v="0"/>
    <x v="0"/>
    <x v="0"/>
    <x v="0"/>
    <n v="31615"/>
    <x v="8"/>
    <s v="IN"/>
    <x v="2"/>
    <x v="8"/>
    <s v="IN"/>
    <x v="0"/>
  </r>
  <r>
    <x v="2"/>
    <x v="0"/>
    <x v="0"/>
    <x v="0"/>
    <x v="17"/>
    <n v="58255"/>
    <x v="11"/>
    <s v="PT"/>
    <x v="1"/>
    <x v="19"/>
    <s v="PT"/>
    <x v="0"/>
  </r>
  <r>
    <x v="2"/>
    <x v="2"/>
    <x v="2"/>
    <x v="0"/>
    <x v="29"/>
    <n v="100000"/>
    <x v="4"/>
    <s v="US"/>
    <x v="1"/>
    <x v="4"/>
    <s v="US"/>
    <x v="0"/>
  </r>
  <r>
    <x v="2"/>
    <x v="0"/>
    <x v="0"/>
    <x v="2"/>
    <x v="10"/>
    <n v="54957"/>
    <x v="0"/>
    <s v="DE"/>
    <x v="1"/>
    <x v="0"/>
    <s v="DE"/>
    <x v="0"/>
  </r>
  <r>
    <x v="2"/>
    <x v="2"/>
    <x v="2"/>
    <x v="0"/>
    <x v="0"/>
    <n v="18442"/>
    <x v="8"/>
    <s v="IN"/>
    <x v="2"/>
    <x v="8"/>
    <s v="IN"/>
    <x v="2"/>
  </r>
  <r>
    <x v="2"/>
    <x v="1"/>
    <x v="1"/>
    <x v="0"/>
    <x v="21"/>
    <n v="162674"/>
    <x v="0"/>
    <s v="DE"/>
    <x v="2"/>
    <x v="0"/>
    <s v="DE"/>
    <x v="2"/>
  </r>
  <r>
    <x v="2"/>
    <x v="2"/>
    <x v="2"/>
    <x v="0"/>
    <x v="10"/>
    <n v="120000"/>
    <x v="4"/>
    <s v="US"/>
    <x v="2"/>
    <x v="4"/>
    <s v="US"/>
    <x v="2"/>
  </r>
  <r>
    <x v="2"/>
    <x v="1"/>
    <x v="1"/>
    <x v="0"/>
    <x v="14"/>
    <n v="144000"/>
    <x v="4"/>
    <s v="US"/>
    <x v="1"/>
    <x v="4"/>
    <s v="US"/>
    <x v="0"/>
  </r>
  <r>
    <x v="2"/>
    <x v="1"/>
    <x v="1"/>
    <x v="0"/>
    <x v="0"/>
    <n v="104890"/>
    <x v="4"/>
    <s v="US"/>
    <x v="2"/>
    <x v="4"/>
    <s v="US"/>
    <x v="2"/>
  </r>
  <r>
    <x v="2"/>
    <x v="1"/>
    <x v="1"/>
    <x v="0"/>
    <x v="10"/>
    <n v="100000"/>
    <x v="4"/>
    <s v="US"/>
    <x v="2"/>
    <x v="4"/>
    <s v="US"/>
    <x v="2"/>
  </r>
  <r>
    <x v="2"/>
    <x v="1"/>
    <x v="1"/>
    <x v="0"/>
    <x v="0"/>
    <n v="140000"/>
    <x v="4"/>
    <s v="US"/>
    <x v="2"/>
    <x v="4"/>
    <s v="US"/>
    <x v="2"/>
  </r>
  <r>
    <x v="2"/>
    <x v="0"/>
    <x v="0"/>
    <x v="0"/>
    <x v="5"/>
    <n v="135000"/>
    <x v="4"/>
    <s v="US"/>
    <x v="2"/>
    <x v="4"/>
    <s v="US"/>
    <x v="2"/>
  </r>
  <r>
    <x v="2"/>
    <x v="0"/>
    <x v="0"/>
    <x v="0"/>
    <x v="5"/>
    <n v="50000"/>
    <x v="4"/>
    <s v="US"/>
    <x v="2"/>
    <x v="4"/>
    <s v="US"/>
    <x v="2"/>
  </r>
  <r>
    <x v="2"/>
    <x v="1"/>
    <x v="1"/>
    <x v="0"/>
    <x v="0"/>
    <n v="220000"/>
    <x v="4"/>
    <s v="US"/>
    <x v="2"/>
    <x v="4"/>
    <s v="US"/>
    <x v="2"/>
  </r>
  <r>
    <x v="2"/>
    <x v="1"/>
    <x v="1"/>
    <x v="0"/>
    <x v="0"/>
    <n v="140000"/>
    <x v="4"/>
    <s v="US"/>
    <x v="2"/>
    <x v="4"/>
    <s v="US"/>
    <x v="2"/>
  </r>
  <r>
    <x v="2"/>
    <x v="0"/>
    <x v="0"/>
    <x v="0"/>
    <x v="0"/>
    <n v="183228"/>
    <x v="2"/>
    <s v="GB"/>
    <x v="0"/>
    <x v="2"/>
    <s v="GB"/>
    <x v="2"/>
  </r>
  <r>
    <x v="2"/>
    <x v="0"/>
    <x v="0"/>
    <x v="0"/>
    <x v="0"/>
    <n v="91614"/>
    <x v="2"/>
    <s v="GB"/>
    <x v="0"/>
    <x v="2"/>
    <s v="GB"/>
    <x v="2"/>
  </r>
  <r>
    <x v="2"/>
    <x v="1"/>
    <x v="1"/>
    <x v="0"/>
    <x v="0"/>
    <n v="185100"/>
    <x v="4"/>
    <s v="US"/>
    <x v="2"/>
    <x v="4"/>
    <s v="US"/>
    <x v="2"/>
  </r>
  <r>
    <x v="2"/>
    <x v="1"/>
    <x v="1"/>
    <x v="0"/>
    <x v="4"/>
    <n v="220000"/>
    <x v="4"/>
    <s v="US"/>
    <x v="2"/>
    <x v="4"/>
    <s v="US"/>
    <x v="2"/>
  </r>
  <r>
    <x v="2"/>
    <x v="0"/>
    <x v="0"/>
    <x v="0"/>
    <x v="0"/>
    <n v="200000"/>
    <x v="4"/>
    <s v="US"/>
    <x v="2"/>
    <x v="4"/>
    <s v="US"/>
    <x v="2"/>
  </r>
  <r>
    <x v="2"/>
    <x v="0"/>
    <x v="0"/>
    <x v="0"/>
    <x v="0"/>
    <n v="120000"/>
    <x v="4"/>
    <s v="US"/>
    <x v="2"/>
    <x v="4"/>
    <s v="US"/>
    <x v="2"/>
  </r>
  <r>
    <x v="2"/>
    <x v="1"/>
    <x v="1"/>
    <x v="0"/>
    <x v="4"/>
    <n v="120000"/>
    <x v="14"/>
    <s v="AE"/>
    <x v="2"/>
    <x v="12"/>
    <s v="AE"/>
    <x v="1"/>
  </r>
  <r>
    <x v="2"/>
    <x v="1"/>
    <x v="1"/>
    <x v="0"/>
    <x v="4"/>
    <n v="65000"/>
    <x v="14"/>
    <s v="AE"/>
    <x v="2"/>
    <x v="12"/>
    <s v="AE"/>
    <x v="1"/>
  </r>
  <r>
    <x v="2"/>
    <x v="3"/>
    <x v="3"/>
    <x v="0"/>
    <x v="10"/>
    <n v="324000"/>
    <x v="4"/>
    <s v="US"/>
    <x v="2"/>
    <x v="4"/>
    <s v="US"/>
    <x v="2"/>
  </r>
  <r>
    <x v="2"/>
    <x v="3"/>
    <x v="3"/>
    <x v="0"/>
    <x v="10"/>
    <n v="216000"/>
    <x v="4"/>
    <s v="US"/>
    <x v="2"/>
    <x v="4"/>
    <s v="US"/>
    <x v="2"/>
  </r>
  <r>
    <x v="2"/>
    <x v="1"/>
    <x v="1"/>
    <x v="0"/>
    <x v="10"/>
    <n v="210000"/>
    <x v="4"/>
    <s v="US"/>
    <x v="2"/>
    <x v="4"/>
    <s v="US"/>
    <x v="2"/>
  </r>
  <r>
    <x v="2"/>
    <x v="1"/>
    <x v="1"/>
    <x v="0"/>
    <x v="4"/>
    <n v="120000"/>
    <x v="4"/>
    <s v="US"/>
    <x v="2"/>
    <x v="4"/>
    <s v="US"/>
    <x v="2"/>
  </r>
  <r>
    <x v="2"/>
    <x v="1"/>
    <x v="1"/>
    <x v="0"/>
    <x v="0"/>
    <n v="230000"/>
    <x v="4"/>
    <s v="US"/>
    <x v="2"/>
    <x v="4"/>
    <s v="US"/>
    <x v="2"/>
  </r>
  <r>
    <x v="2"/>
    <x v="2"/>
    <x v="2"/>
    <x v="2"/>
    <x v="0"/>
    <n v="100000"/>
    <x v="49"/>
    <s v="DZ"/>
    <x v="1"/>
    <x v="45"/>
    <s v="DZ"/>
    <x v="2"/>
  </r>
  <r>
    <x v="2"/>
    <x v="0"/>
    <x v="0"/>
    <x v="3"/>
    <x v="0"/>
    <n v="100000"/>
    <x v="17"/>
    <s v="CA"/>
    <x v="2"/>
    <x v="4"/>
    <s v="US"/>
    <x v="2"/>
  </r>
  <r>
    <x v="2"/>
    <x v="2"/>
    <x v="2"/>
    <x v="1"/>
    <x v="35"/>
    <n v="31875"/>
    <x v="50"/>
    <s v="TN"/>
    <x v="2"/>
    <x v="44"/>
    <s v="CZ"/>
    <x v="2"/>
  </r>
  <r>
    <x v="2"/>
    <x v="1"/>
    <x v="1"/>
    <x v="0"/>
    <x v="23"/>
    <n v="200000"/>
    <x v="51"/>
    <s v="MY"/>
    <x v="2"/>
    <x v="4"/>
    <s v="US"/>
    <x v="2"/>
  </r>
  <r>
    <x v="2"/>
    <x v="0"/>
    <x v="0"/>
    <x v="0"/>
    <x v="41"/>
    <n v="75000"/>
    <x v="17"/>
    <s v="CA"/>
    <x v="2"/>
    <x v="15"/>
    <s v="CA"/>
    <x v="1"/>
  </r>
  <r>
    <x v="2"/>
    <x v="0"/>
    <x v="0"/>
    <x v="0"/>
    <x v="0"/>
    <n v="35590"/>
    <x v="10"/>
    <s v="PL"/>
    <x v="2"/>
    <x v="24"/>
    <s v="PL"/>
    <x v="0"/>
  </r>
  <r>
    <x v="2"/>
    <x v="1"/>
    <x v="1"/>
    <x v="0"/>
    <x v="34"/>
    <n v="78791"/>
    <x v="17"/>
    <s v="CA"/>
    <x v="2"/>
    <x v="15"/>
    <s v="CA"/>
    <x v="2"/>
  </r>
  <r>
    <x v="2"/>
    <x v="1"/>
    <x v="1"/>
    <x v="0"/>
    <x v="0"/>
    <n v="100000"/>
    <x v="28"/>
    <s v="BR"/>
    <x v="2"/>
    <x v="4"/>
    <s v="US"/>
    <x v="2"/>
  </r>
  <r>
    <x v="2"/>
    <x v="0"/>
    <x v="0"/>
    <x v="0"/>
    <x v="1"/>
    <n v="153000"/>
    <x v="4"/>
    <s v="US"/>
    <x v="1"/>
    <x v="4"/>
    <s v="US"/>
    <x v="2"/>
  </r>
  <r>
    <x v="2"/>
    <x v="2"/>
    <x v="2"/>
    <x v="0"/>
    <x v="10"/>
    <n v="58035"/>
    <x v="9"/>
    <s v="PK"/>
    <x v="2"/>
    <x v="0"/>
    <s v="DE"/>
    <x v="2"/>
  </r>
  <r>
    <x v="2"/>
    <x v="1"/>
    <x v="1"/>
    <x v="0"/>
    <x v="0"/>
    <n v="165000"/>
    <x v="4"/>
    <s v="US"/>
    <x v="2"/>
    <x v="4"/>
    <s v="US"/>
    <x v="2"/>
  </r>
  <r>
    <x v="2"/>
    <x v="1"/>
    <x v="1"/>
    <x v="0"/>
    <x v="14"/>
    <n v="93427"/>
    <x v="7"/>
    <s v="FR"/>
    <x v="1"/>
    <x v="7"/>
    <s v="FR"/>
    <x v="0"/>
  </r>
  <r>
    <x v="2"/>
    <x v="2"/>
    <x v="2"/>
    <x v="0"/>
    <x v="0"/>
    <n v="52396"/>
    <x v="17"/>
    <s v="CA"/>
    <x v="2"/>
    <x v="15"/>
    <s v="CA"/>
    <x v="0"/>
  </r>
  <r>
    <x v="2"/>
    <x v="1"/>
    <x v="1"/>
    <x v="0"/>
    <x v="4"/>
    <n v="62651"/>
    <x v="15"/>
    <s v="NL"/>
    <x v="2"/>
    <x v="13"/>
    <s v="NL"/>
    <x v="0"/>
  </r>
  <r>
    <x v="2"/>
    <x v="0"/>
    <x v="0"/>
    <x v="0"/>
    <x v="23"/>
    <n v="32974"/>
    <x v="52"/>
    <s v="EE"/>
    <x v="2"/>
    <x v="46"/>
    <s v="EE"/>
    <x v="1"/>
  </r>
  <r>
    <x v="2"/>
    <x v="2"/>
    <x v="2"/>
    <x v="0"/>
    <x v="0"/>
    <n v="40000"/>
    <x v="1"/>
    <s v="JP"/>
    <x v="2"/>
    <x v="47"/>
    <s v="MY"/>
    <x v="0"/>
  </r>
  <r>
    <x v="2"/>
    <x v="0"/>
    <x v="0"/>
    <x v="0"/>
    <x v="4"/>
    <n v="87425"/>
    <x v="53"/>
    <s v="AU"/>
    <x v="2"/>
    <x v="48"/>
    <s v="AU"/>
    <x v="0"/>
  </r>
  <r>
    <x v="2"/>
    <x v="1"/>
    <x v="1"/>
    <x v="0"/>
    <x v="10"/>
    <n v="115000"/>
    <x v="4"/>
    <s v="US"/>
    <x v="2"/>
    <x v="4"/>
    <s v="US"/>
    <x v="2"/>
  </r>
  <r>
    <x v="2"/>
    <x v="2"/>
    <x v="2"/>
    <x v="0"/>
    <x v="0"/>
    <n v="86703"/>
    <x v="53"/>
    <s v="AU"/>
    <x v="1"/>
    <x v="48"/>
    <s v="AU"/>
    <x v="2"/>
  </r>
  <r>
    <x v="2"/>
    <x v="0"/>
    <x v="0"/>
    <x v="0"/>
    <x v="35"/>
    <n v="75000"/>
    <x v="54"/>
    <s v="BO"/>
    <x v="2"/>
    <x v="4"/>
    <s v="US"/>
    <x v="0"/>
  </r>
  <r>
    <x v="2"/>
    <x v="0"/>
    <x v="0"/>
    <x v="0"/>
    <x v="14"/>
    <n v="64849"/>
    <x v="18"/>
    <s v="AT"/>
    <x v="0"/>
    <x v="16"/>
    <s v="AT"/>
    <x v="0"/>
  </r>
  <r>
    <x v="2"/>
    <x v="2"/>
    <x v="2"/>
    <x v="0"/>
    <x v="14"/>
    <n v="120000"/>
    <x v="4"/>
    <s v="US"/>
    <x v="2"/>
    <x v="4"/>
    <s v="US"/>
    <x v="0"/>
  </r>
  <r>
    <x v="2"/>
    <x v="0"/>
    <x v="0"/>
    <x v="0"/>
    <x v="26"/>
    <n v="157000"/>
    <x v="4"/>
    <s v="US"/>
    <x v="2"/>
    <x v="4"/>
    <s v="US"/>
    <x v="0"/>
  </r>
  <r>
    <x v="2"/>
    <x v="2"/>
    <x v="2"/>
    <x v="0"/>
    <x v="30"/>
    <n v="150000"/>
    <x v="53"/>
    <s v="AU"/>
    <x v="2"/>
    <x v="48"/>
    <s v="AU"/>
    <x v="1"/>
  </r>
  <r>
    <x v="2"/>
    <x v="0"/>
    <x v="0"/>
    <x v="0"/>
    <x v="7"/>
    <n v="70912"/>
    <x v="17"/>
    <s v="CA"/>
    <x v="1"/>
    <x v="15"/>
    <s v="CA"/>
    <x v="0"/>
  </r>
  <r>
    <x v="2"/>
    <x v="2"/>
    <x v="2"/>
    <x v="0"/>
    <x v="10"/>
    <n v="65000"/>
    <x v="4"/>
    <s v="US"/>
    <x v="2"/>
    <x v="4"/>
    <s v="US"/>
    <x v="1"/>
  </r>
  <r>
    <x v="2"/>
    <x v="1"/>
    <x v="1"/>
    <x v="0"/>
    <x v="4"/>
    <n v="71444"/>
    <x v="55"/>
    <s v="IE"/>
    <x v="2"/>
    <x v="49"/>
    <s v="IE"/>
    <x v="1"/>
  </r>
  <r>
    <x v="2"/>
    <x v="2"/>
    <x v="2"/>
    <x v="0"/>
    <x v="25"/>
    <n v="20000"/>
    <x v="9"/>
    <s v="PK"/>
    <x v="0"/>
    <x v="9"/>
    <s v="PK"/>
    <x v="2"/>
  </r>
  <r>
    <x v="2"/>
    <x v="0"/>
    <x v="0"/>
    <x v="0"/>
    <x v="0"/>
    <n v="48000"/>
    <x v="23"/>
    <s v="RU"/>
    <x v="2"/>
    <x v="4"/>
    <s v="US"/>
    <x v="1"/>
  </r>
  <r>
    <x v="2"/>
    <x v="1"/>
    <x v="1"/>
    <x v="0"/>
    <x v="22"/>
    <n v="152500"/>
    <x v="4"/>
    <s v="US"/>
    <x v="2"/>
    <x v="4"/>
    <s v="US"/>
    <x v="2"/>
  </r>
  <r>
    <x v="2"/>
    <x v="0"/>
    <x v="0"/>
    <x v="0"/>
    <x v="10"/>
    <n v="68147"/>
    <x v="7"/>
    <s v="FR"/>
    <x v="2"/>
    <x v="7"/>
    <s v="FR"/>
    <x v="2"/>
  </r>
  <r>
    <x v="2"/>
    <x v="0"/>
    <x v="0"/>
    <x v="0"/>
    <x v="0"/>
    <n v="122346"/>
    <x v="56"/>
    <s v="CH"/>
    <x v="0"/>
    <x v="40"/>
    <s v="CH"/>
    <x v="0"/>
  </r>
  <r>
    <x v="2"/>
    <x v="1"/>
    <x v="1"/>
    <x v="0"/>
    <x v="26"/>
    <n v="380000"/>
    <x v="4"/>
    <s v="US"/>
    <x v="2"/>
    <x v="4"/>
    <s v="US"/>
    <x v="0"/>
  </r>
  <r>
    <x v="2"/>
    <x v="0"/>
    <x v="0"/>
    <x v="0"/>
    <x v="0"/>
    <n v="69336"/>
    <x v="17"/>
    <s v="CA"/>
    <x v="2"/>
    <x v="15"/>
    <s v="CA"/>
    <x v="2"/>
  </r>
  <r>
    <x v="2"/>
    <x v="2"/>
    <x v="2"/>
    <x v="0"/>
    <x v="20"/>
    <n v="10000"/>
    <x v="11"/>
    <s v="PT"/>
    <x v="2"/>
    <x v="23"/>
    <s v="LU"/>
    <x v="2"/>
  </r>
  <r>
    <x v="2"/>
    <x v="0"/>
    <x v="0"/>
    <x v="0"/>
    <x v="5"/>
    <n v="20000"/>
    <x v="13"/>
    <s v="GR"/>
    <x v="2"/>
    <x v="11"/>
    <s v="GR"/>
    <x v="1"/>
  </r>
  <r>
    <x v="2"/>
    <x v="1"/>
    <x v="1"/>
    <x v="0"/>
    <x v="49"/>
    <n v="405000"/>
    <x v="4"/>
    <s v="US"/>
    <x v="2"/>
    <x v="4"/>
    <s v="US"/>
    <x v="0"/>
  </r>
  <r>
    <x v="2"/>
    <x v="0"/>
    <x v="0"/>
    <x v="0"/>
    <x v="0"/>
    <n v="135000"/>
    <x v="4"/>
    <s v="US"/>
    <x v="2"/>
    <x v="4"/>
    <s v="US"/>
    <x v="0"/>
  </r>
  <r>
    <x v="2"/>
    <x v="1"/>
    <x v="1"/>
    <x v="0"/>
    <x v="26"/>
    <n v="177000"/>
    <x v="4"/>
    <s v="US"/>
    <x v="2"/>
    <x v="4"/>
    <s v="US"/>
    <x v="0"/>
  </r>
  <r>
    <x v="2"/>
    <x v="0"/>
    <x v="0"/>
    <x v="0"/>
    <x v="0"/>
    <n v="78000"/>
    <x v="4"/>
    <s v="US"/>
    <x v="2"/>
    <x v="4"/>
    <s v="US"/>
    <x v="2"/>
  </r>
  <r>
    <x v="2"/>
    <x v="1"/>
    <x v="1"/>
    <x v="0"/>
    <x v="5"/>
    <n v="135000"/>
    <x v="4"/>
    <s v="US"/>
    <x v="2"/>
    <x v="4"/>
    <s v="US"/>
    <x v="2"/>
  </r>
  <r>
    <x v="2"/>
    <x v="1"/>
    <x v="1"/>
    <x v="0"/>
    <x v="5"/>
    <n v="100000"/>
    <x v="4"/>
    <s v="US"/>
    <x v="2"/>
    <x v="4"/>
    <s v="US"/>
    <x v="2"/>
  </r>
  <r>
    <x v="2"/>
    <x v="1"/>
    <x v="1"/>
    <x v="0"/>
    <x v="5"/>
    <n v="90320"/>
    <x v="4"/>
    <s v="US"/>
    <x v="2"/>
    <x v="4"/>
    <s v="US"/>
    <x v="2"/>
  </r>
  <r>
    <x v="2"/>
    <x v="0"/>
    <x v="0"/>
    <x v="0"/>
    <x v="5"/>
    <n v="85000"/>
    <x v="17"/>
    <s v="CA"/>
    <x v="0"/>
    <x v="15"/>
    <s v="CA"/>
    <x v="2"/>
  </r>
  <r>
    <x v="2"/>
    <x v="0"/>
    <x v="0"/>
    <x v="0"/>
    <x v="5"/>
    <n v="75000"/>
    <x v="17"/>
    <s v="CA"/>
    <x v="0"/>
    <x v="15"/>
    <s v="CA"/>
    <x v="2"/>
  </r>
  <r>
    <x v="2"/>
    <x v="1"/>
    <x v="1"/>
    <x v="0"/>
    <x v="4"/>
    <n v="214000"/>
    <x v="4"/>
    <s v="US"/>
    <x v="2"/>
    <x v="4"/>
    <s v="US"/>
    <x v="2"/>
  </r>
  <r>
    <x v="2"/>
    <x v="1"/>
    <x v="1"/>
    <x v="0"/>
    <x v="4"/>
    <n v="192600"/>
    <x v="4"/>
    <s v="US"/>
    <x v="2"/>
    <x v="4"/>
    <s v="US"/>
    <x v="2"/>
  </r>
  <r>
    <x v="2"/>
    <x v="1"/>
    <x v="1"/>
    <x v="0"/>
    <x v="39"/>
    <n v="266400"/>
    <x v="4"/>
    <s v="US"/>
    <x v="2"/>
    <x v="4"/>
    <s v="US"/>
    <x v="2"/>
  </r>
  <r>
    <x v="2"/>
    <x v="1"/>
    <x v="1"/>
    <x v="0"/>
    <x v="39"/>
    <n v="213120"/>
    <x v="4"/>
    <s v="US"/>
    <x v="2"/>
    <x v="4"/>
    <s v="US"/>
    <x v="2"/>
  </r>
  <r>
    <x v="2"/>
    <x v="1"/>
    <x v="1"/>
    <x v="0"/>
    <x v="5"/>
    <n v="112900"/>
    <x v="4"/>
    <s v="US"/>
    <x v="2"/>
    <x v="4"/>
    <s v="US"/>
    <x v="2"/>
  </r>
  <r>
    <x v="2"/>
    <x v="1"/>
    <x v="1"/>
    <x v="0"/>
    <x v="10"/>
    <n v="155000"/>
    <x v="4"/>
    <s v="US"/>
    <x v="2"/>
    <x v="4"/>
    <s v="US"/>
    <x v="2"/>
  </r>
  <r>
    <x v="2"/>
    <x v="0"/>
    <x v="0"/>
    <x v="0"/>
    <x v="0"/>
    <n v="141300"/>
    <x v="4"/>
    <s v="US"/>
    <x v="0"/>
    <x v="4"/>
    <s v="US"/>
    <x v="2"/>
  </r>
  <r>
    <x v="2"/>
    <x v="0"/>
    <x v="0"/>
    <x v="0"/>
    <x v="0"/>
    <n v="102100"/>
    <x v="4"/>
    <s v="US"/>
    <x v="0"/>
    <x v="4"/>
    <s v="US"/>
    <x v="2"/>
  </r>
  <r>
    <x v="2"/>
    <x v="1"/>
    <x v="1"/>
    <x v="0"/>
    <x v="5"/>
    <n v="115934"/>
    <x v="4"/>
    <s v="US"/>
    <x v="2"/>
    <x v="4"/>
    <s v="US"/>
    <x v="2"/>
  </r>
  <r>
    <x v="2"/>
    <x v="1"/>
    <x v="1"/>
    <x v="0"/>
    <x v="5"/>
    <n v="81666"/>
    <x v="4"/>
    <s v="US"/>
    <x v="2"/>
    <x v="4"/>
    <s v="US"/>
    <x v="2"/>
  </r>
  <r>
    <x v="2"/>
    <x v="0"/>
    <x v="0"/>
    <x v="0"/>
    <x v="10"/>
    <n v="206699"/>
    <x v="4"/>
    <s v="US"/>
    <x v="0"/>
    <x v="4"/>
    <s v="US"/>
    <x v="2"/>
  </r>
  <r>
    <x v="2"/>
    <x v="0"/>
    <x v="0"/>
    <x v="0"/>
    <x v="10"/>
    <n v="99100"/>
    <x v="4"/>
    <s v="US"/>
    <x v="0"/>
    <x v="4"/>
    <s v="US"/>
    <x v="2"/>
  </r>
  <r>
    <x v="2"/>
    <x v="1"/>
    <x v="1"/>
    <x v="0"/>
    <x v="10"/>
    <n v="130000"/>
    <x v="4"/>
    <s v="US"/>
    <x v="2"/>
    <x v="4"/>
    <s v="US"/>
    <x v="2"/>
  </r>
  <r>
    <x v="2"/>
    <x v="1"/>
    <x v="1"/>
    <x v="0"/>
    <x v="10"/>
    <n v="115000"/>
    <x v="4"/>
    <s v="US"/>
    <x v="2"/>
    <x v="4"/>
    <s v="US"/>
    <x v="2"/>
  </r>
  <r>
    <x v="2"/>
    <x v="1"/>
    <x v="1"/>
    <x v="0"/>
    <x v="10"/>
    <n v="110500"/>
    <x v="4"/>
    <s v="US"/>
    <x v="2"/>
    <x v="4"/>
    <s v="US"/>
    <x v="2"/>
  </r>
  <r>
    <x v="2"/>
    <x v="1"/>
    <x v="1"/>
    <x v="0"/>
    <x v="10"/>
    <n v="130000"/>
    <x v="4"/>
    <s v="US"/>
    <x v="2"/>
    <x v="4"/>
    <s v="US"/>
    <x v="2"/>
  </r>
  <r>
    <x v="2"/>
    <x v="1"/>
    <x v="1"/>
    <x v="0"/>
    <x v="5"/>
    <n v="99050"/>
    <x v="4"/>
    <s v="US"/>
    <x v="2"/>
    <x v="4"/>
    <s v="US"/>
    <x v="2"/>
  </r>
  <r>
    <x v="2"/>
    <x v="1"/>
    <x v="1"/>
    <x v="0"/>
    <x v="10"/>
    <n v="160000"/>
    <x v="4"/>
    <s v="US"/>
    <x v="2"/>
    <x v="4"/>
    <s v="US"/>
    <x v="2"/>
  </r>
  <r>
    <x v="2"/>
    <x v="1"/>
    <x v="1"/>
    <x v="0"/>
    <x v="0"/>
    <n v="205300"/>
    <x v="4"/>
    <s v="US"/>
    <x v="0"/>
    <x v="4"/>
    <s v="US"/>
    <x v="0"/>
  </r>
  <r>
    <x v="2"/>
    <x v="1"/>
    <x v="1"/>
    <x v="0"/>
    <x v="0"/>
    <n v="140400"/>
    <x v="4"/>
    <s v="US"/>
    <x v="0"/>
    <x v="4"/>
    <s v="US"/>
    <x v="0"/>
  </r>
  <r>
    <x v="2"/>
    <x v="1"/>
    <x v="1"/>
    <x v="0"/>
    <x v="0"/>
    <n v="176000"/>
    <x v="4"/>
    <s v="US"/>
    <x v="2"/>
    <x v="4"/>
    <s v="US"/>
    <x v="2"/>
  </r>
  <r>
    <x v="2"/>
    <x v="1"/>
    <x v="1"/>
    <x v="0"/>
    <x v="0"/>
    <n v="144000"/>
    <x v="4"/>
    <s v="US"/>
    <x v="2"/>
    <x v="4"/>
    <s v="US"/>
    <x v="2"/>
  </r>
  <r>
    <x v="2"/>
    <x v="1"/>
    <x v="1"/>
    <x v="0"/>
    <x v="10"/>
    <n v="200100"/>
    <x v="4"/>
    <s v="US"/>
    <x v="2"/>
    <x v="4"/>
    <s v="US"/>
    <x v="2"/>
  </r>
  <r>
    <x v="2"/>
    <x v="1"/>
    <x v="1"/>
    <x v="0"/>
    <x v="10"/>
    <n v="160000"/>
    <x v="4"/>
    <s v="US"/>
    <x v="2"/>
    <x v="4"/>
    <s v="US"/>
    <x v="2"/>
  </r>
  <r>
    <x v="2"/>
    <x v="1"/>
    <x v="1"/>
    <x v="0"/>
    <x v="10"/>
    <n v="145000"/>
    <x v="4"/>
    <s v="US"/>
    <x v="2"/>
    <x v="4"/>
    <s v="US"/>
    <x v="2"/>
  </r>
  <r>
    <x v="2"/>
    <x v="1"/>
    <x v="1"/>
    <x v="0"/>
    <x v="10"/>
    <n v="70500"/>
    <x v="4"/>
    <s v="US"/>
    <x v="0"/>
    <x v="4"/>
    <s v="US"/>
    <x v="2"/>
  </r>
  <r>
    <x v="2"/>
    <x v="1"/>
    <x v="1"/>
    <x v="0"/>
    <x v="0"/>
    <n v="205300"/>
    <x v="4"/>
    <s v="US"/>
    <x v="0"/>
    <x v="4"/>
    <s v="US"/>
    <x v="2"/>
  </r>
  <r>
    <x v="2"/>
    <x v="1"/>
    <x v="1"/>
    <x v="0"/>
    <x v="0"/>
    <n v="140400"/>
    <x v="4"/>
    <s v="US"/>
    <x v="0"/>
    <x v="4"/>
    <s v="US"/>
    <x v="2"/>
  </r>
  <r>
    <x v="2"/>
    <x v="1"/>
    <x v="1"/>
    <x v="0"/>
    <x v="44"/>
    <n v="205300"/>
    <x v="4"/>
    <s v="US"/>
    <x v="0"/>
    <x v="4"/>
    <s v="US"/>
    <x v="2"/>
  </r>
  <r>
    <x v="2"/>
    <x v="1"/>
    <x v="1"/>
    <x v="0"/>
    <x v="44"/>
    <n v="184700"/>
    <x v="4"/>
    <s v="US"/>
    <x v="0"/>
    <x v="4"/>
    <s v="US"/>
    <x v="2"/>
  </r>
  <r>
    <x v="2"/>
    <x v="1"/>
    <x v="1"/>
    <x v="0"/>
    <x v="10"/>
    <n v="175100"/>
    <x v="4"/>
    <s v="US"/>
    <x v="2"/>
    <x v="4"/>
    <s v="US"/>
    <x v="2"/>
  </r>
  <r>
    <x v="2"/>
    <x v="1"/>
    <x v="1"/>
    <x v="0"/>
    <x v="10"/>
    <n v="140250"/>
    <x v="4"/>
    <s v="US"/>
    <x v="2"/>
    <x v="4"/>
    <s v="US"/>
    <x v="2"/>
  </r>
  <r>
    <x v="2"/>
    <x v="1"/>
    <x v="1"/>
    <x v="0"/>
    <x v="5"/>
    <n v="116150"/>
    <x v="4"/>
    <s v="US"/>
    <x v="2"/>
    <x v="4"/>
    <s v="US"/>
    <x v="2"/>
  </r>
  <r>
    <x v="2"/>
    <x v="1"/>
    <x v="1"/>
    <x v="0"/>
    <x v="10"/>
    <n v="54000"/>
    <x v="4"/>
    <s v="US"/>
    <x v="0"/>
    <x v="4"/>
    <s v="US"/>
    <x v="2"/>
  </r>
  <r>
    <x v="2"/>
    <x v="1"/>
    <x v="1"/>
    <x v="0"/>
    <x v="5"/>
    <n v="170000"/>
    <x v="4"/>
    <s v="US"/>
    <x v="2"/>
    <x v="4"/>
    <s v="US"/>
    <x v="2"/>
  </r>
  <r>
    <x v="2"/>
    <x v="0"/>
    <x v="0"/>
    <x v="0"/>
    <x v="5"/>
    <n v="65438"/>
    <x v="2"/>
    <s v="GB"/>
    <x v="0"/>
    <x v="2"/>
    <s v="GB"/>
    <x v="2"/>
  </r>
  <r>
    <x v="2"/>
    <x v="1"/>
    <x v="1"/>
    <x v="0"/>
    <x v="5"/>
    <n v="80000"/>
    <x v="4"/>
    <s v="US"/>
    <x v="2"/>
    <x v="4"/>
    <s v="US"/>
    <x v="2"/>
  </r>
  <r>
    <x v="2"/>
    <x v="1"/>
    <x v="1"/>
    <x v="0"/>
    <x v="0"/>
    <n v="140000"/>
    <x v="4"/>
    <s v="US"/>
    <x v="2"/>
    <x v="4"/>
    <s v="US"/>
    <x v="2"/>
  </r>
  <r>
    <x v="2"/>
    <x v="1"/>
    <x v="1"/>
    <x v="0"/>
    <x v="0"/>
    <n v="210000"/>
    <x v="4"/>
    <s v="US"/>
    <x v="2"/>
    <x v="4"/>
    <s v="US"/>
    <x v="2"/>
  </r>
  <r>
    <x v="2"/>
    <x v="1"/>
    <x v="1"/>
    <x v="0"/>
    <x v="0"/>
    <n v="140000"/>
    <x v="4"/>
    <s v="US"/>
    <x v="2"/>
    <x v="4"/>
    <s v="US"/>
    <x v="2"/>
  </r>
  <r>
    <x v="2"/>
    <x v="1"/>
    <x v="1"/>
    <x v="0"/>
    <x v="5"/>
    <n v="100000"/>
    <x v="4"/>
    <s v="US"/>
    <x v="2"/>
    <x v="4"/>
    <s v="US"/>
    <x v="2"/>
  </r>
  <r>
    <x v="2"/>
    <x v="1"/>
    <x v="1"/>
    <x v="0"/>
    <x v="5"/>
    <n v="69000"/>
    <x v="4"/>
    <s v="US"/>
    <x v="2"/>
    <x v="4"/>
    <s v="US"/>
    <x v="2"/>
  </r>
  <r>
    <x v="2"/>
    <x v="1"/>
    <x v="1"/>
    <x v="0"/>
    <x v="0"/>
    <n v="210000"/>
    <x v="4"/>
    <s v="US"/>
    <x v="2"/>
    <x v="4"/>
    <s v="US"/>
    <x v="2"/>
  </r>
  <r>
    <x v="2"/>
    <x v="1"/>
    <x v="1"/>
    <x v="0"/>
    <x v="0"/>
    <n v="140000"/>
    <x v="4"/>
    <s v="US"/>
    <x v="2"/>
    <x v="4"/>
    <s v="US"/>
    <x v="2"/>
  </r>
  <r>
    <x v="2"/>
    <x v="1"/>
    <x v="1"/>
    <x v="0"/>
    <x v="0"/>
    <n v="210000"/>
    <x v="4"/>
    <s v="US"/>
    <x v="2"/>
    <x v="4"/>
    <s v="US"/>
    <x v="2"/>
  </r>
  <r>
    <x v="2"/>
    <x v="1"/>
    <x v="1"/>
    <x v="0"/>
    <x v="5"/>
    <n v="150075"/>
    <x v="4"/>
    <s v="US"/>
    <x v="2"/>
    <x v="4"/>
    <s v="US"/>
    <x v="2"/>
  </r>
  <r>
    <x v="2"/>
    <x v="1"/>
    <x v="1"/>
    <x v="0"/>
    <x v="10"/>
    <n v="100000"/>
    <x v="4"/>
    <s v="US"/>
    <x v="2"/>
    <x v="4"/>
    <s v="US"/>
    <x v="2"/>
  </r>
  <r>
    <x v="2"/>
    <x v="1"/>
    <x v="1"/>
    <x v="0"/>
    <x v="10"/>
    <n v="25000"/>
    <x v="4"/>
    <s v="US"/>
    <x v="2"/>
    <x v="4"/>
    <s v="US"/>
    <x v="2"/>
  </r>
  <r>
    <x v="2"/>
    <x v="1"/>
    <x v="1"/>
    <x v="0"/>
    <x v="5"/>
    <n v="126500"/>
    <x v="4"/>
    <s v="US"/>
    <x v="2"/>
    <x v="4"/>
    <s v="US"/>
    <x v="2"/>
  </r>
  <r>
    <x v="2"/>
    <x v="1"/>
    <x v="1"/>
    <x v="0"/>
    <x v="5"/>
    <n v="106260"/>
    <x v="4"/>
    <s v="US"/>
    <x v="2"/>
    <x v="4"/>
    <s v="US"/>
    <x v="2"/>
  </r>
  <r>
    <x v="2"/>
    <x v="1"/>
    <x v="1"/>
    <x v="0"/>
    <x v="10"/>
    <n v="220110"/>
    <x v="4"/>
    <s v="US"/>
    <x v="2"/>
    <x v="4"/>
    <s v="US"/>
    <x v="2"/>
  </r>
  <r>
    <x v="2"/>
    <x v="1"/>
    <x v="1"/>
    <x v="0"/>
    <x v="10"/>
    <n v="160080"/>
    <x v="4"/>
    <s v="US"/>
    <x v="2"/>
    <x v="4"/>
    <s v="US"/>
    <x v="2"/>
  </r>
  <r>
    <x v="2"/>
    <x v="1"/>
    <x v="1"/>
    <x v="0"/>
    <x v="5"/>
    <n v="105000"/>
    <x v="4"/>
    <s v="US"/>
    <x v="2"/>
    <x v="4"/>
    <s v="US"/>
    <x v="2"/>
  </r>
  <r>
    <x v="2"/>
    <x v="1"/>
    <x v="1"/>
    <x v="0"/>
    <x v="5"/>
    <n v="110925"/>
    <x v="4"/>
    <s v="US"/>
    <x v="2"/>
    <x v="4"/>
    <s v="US"/>
    <x v="2"/>
  </r>
  <r>
    <x v="2"/>
    <x v="0"/>
    <x v="0"/>
    <x v="0"/>
    <x v="5"/>
    <n v="45807"/>
    <x v="2"/>
    <s v="GB"/>
    <x v="0"/>
    <x v="2"/>
    <s v="GB"/>
    <x v="2"/>
  </r>
  <r>
    <x v="2"/>
    <x v="1"/>
    <x v="1"/>
    <x v="0"/>
    <x v="0"/>
    <n v="140000"/>
    <x v="4"/>
    <s v="US"/>
    <x v="2"/>
    <x v="4"/>
    <s v="US"/>
    <x v="2"/>
  </r>
  <r>
    <x v="2"/>
    <x v="1"/>
    <x v="1"/>
    <x v="0"/>
    <x v="5"/>
    <n v="99000"/>
    <x v="4"/>
    <s v="US"/>
    <x v="0"/>
    <x v="4"/>
    <s v="US"/>
    <x v="2"/>
  </r>
  <r>
    <x v="2"/>
    <x v="1"/>
    <x v="1"/>
    <x v="0"/>
    <x v="5"/>
    <n v="60000"/>
    <x v="4"/>
    <s v="US"/>
    <x v="2"/>
    <x v="4"/>
    <s v="US"/>
    <x v="2"/>
  </r>
  <r>
    <x v="2"/>
    <x v="1"/>
    <x v="1"/>
    <x v="0"/>
    <x v="39"/>
    <n v="192564"/>
    <x v="4"/>
    <s v="US"/>
    <x v="2"/>
    <x v="4"/>
    <s v="US"/>
    <x v="2"/>
  </r>
  <r>
    <x v="2"/>
    <x v="1"/>
    <x v="1"/>
    <x v="0"/>
    <x v="39"/>
    <n v="144854"/>
    <x v="4"/>
    <s v="US"/>
    <x v="2"/>
    <x v="4"/>
    <s v="US"/>
    <x v="2"/>
  </r>
  <r>
    <x v="2"/>
    <x v="1"/>
    <x v="1"/>
    <x v="0"/>
    <x v="0"/>
    <n v="230000"/>
    <x v="4"/>
    <s v="US"/>
    <x v="2"/>
    <x v="4"/>
    <s v="US"/>
    <x v="2"/>
  </r>
  <r>
    <x v="2"/>
    <x v="1"/>
    <x v="1"/>
    <x v="0"/>
    <x v="0"/>
    <n v="150000"/>
    <x v="4"/>
    <s v="US"/>
    <x v="2"/>
    <x v="4"/>
    <s v="US"/>
    <x v="2"/>
  </r>
  <r>
    <x v="2"/>
    <x v="1"/>
    <x v="1"/>
    <x v="0"/>
    <x v="36"/>
    <n v="150260"/>
    <x v="4"/>
    <s v="US"/>
    <x v="2"/>
    <x v="4"/>
    <s v="US"/>
    <x v="2"/>
  </r>
  <r>
    <x v="2"/>
    <x v="1"/>
    <x v="1"/>
    <x v="0"/>
    <x v="36"/>
    <n v="109280"/>
    <x v="4"/>
    <s v="US"/>
    <x v="2"/>
    <x v="4"/>
    <s v="US"/>
    <x v="2"/>
  </r>
  <r>
    <x v="2"/>
    <x v="1"/>
    <x v="1"/>
    <x v="0"/>
    <x v="0"/>
    <n v="210000"/>
    <x v="4"/>
    <s v="US"/>
    <x v="2"/>
    <x v="4"/>
    <s v="US"/>
    <x v="2"/>
  </r>
  <r>
    <x v="2"/>
    <x v="1"/>
    <x v="1"/>
    <x v="0"/>
    <x v="5"/>
    <n v="170000"/>
    <x v="4"/>
    <s v="US"/>
    <x v="2"/>
    <x v="4"/>
    <s v="US"/>
    <x v="2"/>
  </r>
  <r>
    <x v="2"/>
    <x v="0"/>
    <x v="0"/>
    <x v="0"/>
    <x v="0"/>
    <n v="160000"/>
    <x v="4"/>
    <s v="US"/>
    <x v="2"/>
    <x v="4"/>
    <s v="US"/>
    <x v="2"/>
  </r>
  <r>
    <x v="2"/>
    <x v="0"/>
    <x v="0"/>
    <x v="0"/>
    <x v="0"/>
    <n v="130000"/>
    <x v="4"/>
    <s v="US"/>
    <x v="2"/>
    <x v="4"/>
    <s v="US"/>
    <x v="2"/>
  </r>
  <r>
    <x v="2"/>
    <x v="2"/>
    <x v="2"/>
    <x v="0"/>
    <x v="5"/>
    <n v="67000"/>
    <x v="17"/>
    <s v="CA"/>
    <x v="0"/>
    <x v="15"/>
    <s v="CA"/>
    <x v="2"/>
  </r>
  <r>
    <x v="2"/>
    <x v="2"/>
    <x v="2"/>
    <x v="0"/>
    <x v="5"/>
    <n v="52000"/>
    <x v="17"/>
    <s v="CA"/>
    <x v="0"/>
    <x v="15"/>
    <s v="CA"/>
    <x v="2"/>
  </r>
  <r>
    <x v="2"/>
    <x v="1"/>
    <x v="1"/>
    <x v="0"/>
    <x v="10"/>
    <n v="154000"/>
    <x v="4"/>
    <s v="US"/>
    <x v="2"/>
    <x v="4"/>
    <s v="US"/>
    <x v="2"/>
  </r>
  <r>
    <x v="2"/>
    <x v="1"/>
    <x v="1"/>
    <x v="0"/>
    <x v="10"/>
    <n v="126000"/>
    <x v="4"/>
    <s v="US"/>
    <x v="2"/>
    <x v="4"/>
    <s v="US"/>
    <x v="2"/>
  </r>
  <r>
    <x v="2"/>
    <x v="1"/>
    <x v="1"/>
    <x v="0"/>
    <x v="5"/>
    <n v="129000"/>
    <x v="4"/>
    <s v="US"/>
    <x v="0"/>
    <x v="4"/>
    <s v="US"/>
    <x v="2"/>
  </r>
  <r>
    <x v="2"/>
    <x v="1"/>
    <x v="1"/>
    <x v="0"/>
    <x v="5"/>
    <n v="150000"/>
    <x v="4"/>
    <s v="US"/>
    <x v="2"/>
    <x v="4"/>
    <s v="US"/>
    <x v="2"/>
  </r>
  <r>
    <x v="2"/>
    <x v="0"/>
    <x v="0"/>
    <x v="0"/>
    <x v="19"/>
    <n v="200000"/>
    <x v="8"/>
    <s v="IN"/>
    <x v="2"/>
    <x v="4"/>
    <s v="US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8">
  <r>
    <x v="0"/>
    <s v="Mid level"/>
    <s v="MI"/>
    <s v="Full Time"/>
    <x v="0"/>
    <x v="0"/>
    <n v="79833"/>
    <s v="DE"/>
    <n v="0"/>
    <s v="DE"/>
    <s v="Europe"/>
    <s v="Large"/>
  </r>
  <r>
    <x v="0"/>
    <s v="Senior Level"/>
    <s v="SE"/>
    <s v="Full Time"/>
    <x v="1"/>
    <x v="1"/>
    <n v="260000"/>
    <s v="JP"/>
    <n v="0"/>
    <s v="JP"/>
    <s v="Asia"/>
    <s v="Small"/>
  </r>
  <r>
    <x v="0"/>
    <s v="Senior Level"/>
    <s v="SE"/>
    <s v="Full Time"/>
    <x v="2"/>
    <x v="2"/>
    <n v="109024"/>
    <s v="GB"/>
    <n v="50"/>
    <s v="GB"/>
    <s v="Europe"/>
    <s v="Medium"/>
  </r>
  <r>
    <x v="0"/>
    <s v="Mid level"/>
    <s v="MI"/>
    <s v="Full Time"/>
    <x v="3"/>
    <x v="3"/>
    <n v="20000"/>
    <s v="HN"/>
    <n v="0"/>
    <s v="HN"/>
    <s v="North America"/>
    <s v="Small"/>
  </r>
  <r>
    <x v="0"/>
    <s v="Senior Level"/>
    <s v="SE"/>
    <s v="Full Time"/>
    <x v="4"/>
    <x v="4"/>
    <n v="150000"/>
    <s v="US"/>
    <n v="50"/>
    <s v="US"/>
    <s v="North America"/>
    <s v="Large"/>
  </r>
  <r>
    <x v="0"/>
    <s v="Entry Level"/>
    <s v="EN"/>
    <s v="Full Time"/>
    <x v="3"/>
    <x v="5"/>
    <n v="72000"/>
    <s v="US"/>
    <n v="100"/>
    <s v="US"/>
    <s v="North America"/>
    <s v="Large"/>
  </r>
  <r>
    <x v="0"/>
    <s v="Senior Level"/>
    <s v="SE"/>
    <s v="Full Time"/>
    <x v="5"/>
    <x v="6"/>
    <n v="190000"/>
    <s v="US"/>
    <n v="100"/>
    <s v="US"/>
    <s v="North America"/>
    <s v="Small"/>
  </r>
  <r>
    <x v="0"/>
    <s v="Mid level"/>
    <s v="MI"/>
    <s v="Full Time"/>
    <x v="0"/>
    <x v="0"/>
    <n v="35735"/>
    <s v="HU"/>
    <n v="50"/>
    <s v="HU"/>
    <s v="Europe"/>
    <s v="Large"/>
  </r>
  <r>
    <x v="0"/>
    <s v="Mid level"/>
    <s v="MI"/>
    <s v="Full Time"/>
    <x v="3"/>
    <x v="7"/>
    <n v="135000"/>
    <s v="US"/>
    <n v="100"/>
    <s v="US"/>
    <s v="North America"/>
    <s v="Large"/>
  </r>
  <r>
    <x v="0"/>
    <s v="Senior Level"/>
    <s v="SE"/>
    <s v="Full Time"/>
    <x v="5"/>
    <x v="8"/>
    <n v="125000"/>
    <s v="NZ"/>
    <n v="50"/>
    <s v="NZ"/>
    <s v="Oceania"/>
    <s v="Small"/>
  </r>
  <r>
    <x v="0"/>
    <s v="Entry Level"/>
    <s v="EN"/>
    <s v="Full Time"/>
    <x v="0"/>
    <x v="0"/>
    <n v="51321"/>
    <s v="FR"/>
    <n v="0"/>
    <s v="FR"/>
    <s v="Europe"/>
    <s v="Small"/>
  </r>
  <r>
    <x v="0"/>
    <s v="Mid level"/>
    <s v="MI"/>
    <s v="Full Time"/>
    <x v="0"/>
    <x v="0"/>
    <n v="40481"/>
    <s v="IN"/>
    <n v="0"/>
    <s v="IN"/>
    <s v="Asia"/>
    <s v="Large"/>
  </r>
  <r>
    <x v="0"/>
    <s v="Entry Level"/>
    <s v="EN"/>
    <s v="Full Time"/>
    <x v="0"/>
    <x v="0"/>
    <n v="39916"/>
    <s v="FR"/>
    <n v="0"/>
    <s v="FR"/>
    <s v="Europe"/>
    <s v="Medium"/>
  </r>
  <r>
    <x v="0"/>
    <s v="Mid level"/>
    <s v="MI"/>
    <s v="Full Time"/>
    <x v="5"/>
    <x v="9"/>
    <n v="87000"/>
    <s v="US"/>
    <n v="100"/>
    <s v="US"/>
    <s v="North America"/>
    <s v="Large"/>
  </r>
  <r>
    <x v="0"/>
    <s v="Mid level"/>
    <s v="MI"/>
    <s v="Full Time"/>
    <x v="3"/>
    <x v="5"/>
    <n v="85000"/>
    <s v="US"/>
    <n v="100"/>
    <s v="US"/>
    <s v="North America"/>
    <s v="Large"/>
  </r>
  <r>
    <x v="0"/>
    <s v="Mid level"/>
    <s v="MI"/>
    <s v="Full Time"/>
    <x v="3"/>
    <x v="5"/>
    <n v="8000"/>
    <s v="PK"/>
    <n v="50"/>
    <s v="PK"/>
    <s v="Asia"/>
    <s v="Large"/>
  </r>
  <r>
    <x v="0"/>
    <s v="Entry Level"/>
    <s v="EN"/>
    <s v="Full Time"/>
    <x v="2"/>
    <x v="10"/>
    <n v="41689"/>
    <s v="JP"/>
    <n v="100"/>
    <s v="JP"/>
    <s v="Asia"/>
    <s v="Small"/>
  </r>
  <r>
    <x v="0"/>
    <s v="Senior Level"/>
    <s v="SE"/>
    <s v="Full Time"/>
    <x v="2"/>
    <x v="2"/>
    <n v="114047"/>
    <s v="PL"/>
    <n v="100"/>
    <s v="GB"/>
    <s v="Europe"/>
    <s v="Small"/>
  </r>
  <r>
    <x v="0"/>
    <s v="Entry Level"/>
    <s v="EN"/>
    <s v="Full Time"/>
    <x v="3"/>
    <x v="11"/>
    <n v="5707"/>
    <s v="IN"/>
    <n v="50"/>
    <s v="IN"/>
    <s v="Asia"/>
    <s v="Medium"/>
  </r>
  <r>
    <x v="0"/>
    <s v="Mid level"/>
    <s v="MI"/>
    <s v="Full Time"/>
    <x v="5"/>
    <x v="8"/>
    <n v="56000"/>
    <s v="PT"/>
    <n v="100"/>
    <s v="US"/>
    <s v="North America"/>
    <s v="Medium"/>
  </r>
  <r>
    <x v="0"/>
    <s v="Mid level"/>
    <s v="MI"/>
    <s v="Full Time"/>
    <x v="4"/>
    <x v="4"/>
    <n v="43331"/>
    <s v="CN"/>
    <n v="0"/>
    <s v="CN"/>
    <s v="Asia"/>
    <s v="Medium"/>
  </r>
  <r>
    <x v="0"/>
    <s v="Mid level"/>
    <s v="MI"/>
    <s v="Full Time"/>
    <x v="3"/>
    <x v="3"/>
    <n v="6072"/>
    <s v="IN"/>
    <n v="100"/>
    <s v="IN"/>
    <s v="Asia"/>
    <s v="Large"/>
  </r>
  <r>
    <x v="0"/>
    <s v="Senior Level"/>
    <s v="SE"/>
    <s v="Full Time"/>
    <x v="2"/>
    <x v="10"/>
    <n v="47899"/>
    <s v="GR"/>
    <n v="50"/>
    <s v="GR"/>
    <s v="Europe"/>
    <s v="Large"/>
  </r>
  <r>
    <x v="0"/>
    <s v="Mid level"/>
    <s v="MI"/>
    <s v="Full Time"/>
    <x v="3"/>
    <x v="12"/>
    <n v="98000"/>
    <s v="US"/>
    <n v="0"/>
    <s v="US"/>
    <s v="North America"/>
    <s v="Medium"/>
  </r>
  <r>
    <x v="0"/>
    <s v="Mid level"/>
    <s v="MI"/>
    <s v="Full Time"/>
    <x v="5"/>
    <x v="6"/>
    <n v="115000"/>
    <s v="AE"/>
    <n v="0"/>
    <s v="AE"/>
    <s v="Asia"/>
    <s v="Large"/>
  </r>
  <r>
    <x v="0"/>
    <s v="Expert Level"/>
    <s v="EX"/>
    <s v="Full Time"/>
    <x v="5"/>
    <x v="13"/>
    <n v="325000"/>
    <s v="US"/>
    <n v="100"/>
    <s v="US"/>
    <s v="North America"/>
    <s v="Large"/>
  </r>
  <r>
    <x v="0"/>
    <s v="Entry Level"/>
    <s v="EN"/>
    <s v="Full Time"/>
    <x v="1"/>
    <x v="14"/>
    <n v="42000"/>
    <s v="NL"/>
    <n v="50"/>
    <s v="NL"/>
    <s v="Europe"/>
    <s v="Large"/>
  </r>
  <r>
    <x v="0"/>
    <s v="Senior Level"/>
    <s v="SE"/>
    <s v="Full Time"/>
    <x v="2"/>
    <x v="10"/>
    <n v="33511"/>
    <s v="MX"/>
    <n v="0"/>
    <s v="MX"/>
    <s v="North America"/>
    <s v="Small"/>
  </r>
  <r>
    <x v="0"/>
    <s v="Entry Level"/>
    <s v="EN"/>
    <s v="Contract"/>
    <x v="3"/>
    <x v="7"/>
    <n v="100000"/>
    <s v="US"/>
    <n v="100"/>
    <s v="US"/>
    <s v="North America"/>
    <s v="Large"/>
  </r>
  <r>
    <x v="0"/>
    <s v="Senior Level"/>
    <s v="SE"/>
    <s v="Full Time"/>
    <x v="5"/>
    <x v="15"/>
    <n v="117104"/>
    <s v="CA"/>
    <n v="50"/>
    <s v="CA"/>
    <s v="North America"/>
    <s v="Large"/>
  </r>
  <r>
    <x v="0"/>
    <s v="Mid level"/>
    <s v="MI"/>
    <s v="Full Time"/>
    <x v="5"/>
    <x v="16"/>
    <n v="59303"/>
    <s v="DE"/>
    <n v="100"/>
    <s v="DE"/>
    <s v="Europe"/>
    <s v="Small"/>
  </r>
  <r>
    <x v="0"/>
    <s v="Entry Level"/>
    <s v="EN"/>
    <s v="Full Time"/>
    <x v="2"/>
    <x v="2"/>
    <n v="70000"/>
    <s v="US"/>
    <n v="100"/>
    <s v="US"/>
    <s v="North America"/>
    <s v="Large"/>
  </r>
  <r>
    <x v="0"/>
    <s v="Senior Level"/>
    <s v="SE"/>
    <s v="Full Time"/>
    <x v="0"/>
    <x v="0"/>
    <n v="68428"/>
    <s v="GR"/>
    <n v="100"/>
    <s v="US"/>
    <s v="North America"/>
    <s v="Large"/>
  </r>
  <r>
    <x v="0"/>
    <s v="Mid level"/>
    <s v="MI"/>
    <s v="Full Time"/>
    <x v="1"/>
    <x v="14"/>
    <n v="450000"/>
    <s v="US"/>
    <n v="0"/>
    <s v="US"/>
    <s v="North America"/>
    <s v="Medium"/>
  </r>
  <r>
    <x v="0"/>
    <s v="Mid level"/>
    <s v="MI"/>
    <s v="Full Time"/>
    <x v="3"/>
    <x v="5"/>
    <n v="46759"/>
    <s v="FR"/>
    <n v="50"/>
    <s v="FR"/>
    <s v="Europe"/>
    <s v="Large"/>
  </r>
  <r>
    <x v="0"/>
    <s v="Mid level"/>
    <s v="MI"/>
    <s v="Full Time"/>
    <x v="2"/>
    <x v="10"/>
    <n v="74130"/>
    <s v="AT"/>
    <n v="50"/>
    <s v="AT"/>
    <s v="Europe"/>
    <s v="Large"/>
  </r>
  <r>
    <x v="0"/>
    <s v="Mid level"/>
    <s v="MI"/>
    <s v="Full Time"/>
    <x v="3"/>
    <x v="11"/>
    <n v="103000"/>
    <s v="US"/>
    <n v="100"/>
    <s v="US"/>
    <s v="North America"/>
    <s v="Large"/>
  </r>
  <r>
    <x v="0"/>
    <s v="Entry Level"/>
    <s v="EN"/>
    <s v="Full Time"/>
    <x v="4"/>
    <x v="4"/>
    <n v="250000"/>
    <s v="US"/>
    <n v="50"/>
    <s v="US"/>
    <s v="North America"/>
    <s v="Large"/>
  </r>
  <r>
    <x v="0"/>
    <s v="Entry Level"/>
    <s v="EN"/>
    <s v="Full Time"/>
    <x v="3"/>
    <x v="5"/>
    <n v="10000"/>
    <s v="NG"/>
    <n v="100"/>
    <s v="NG"/>
    <s v="Africa"/>
    <s v="Small"/>
  </r>
  <r>
    <x v="0"/>
    <s v="Entry Level"/>
    <s v="EN"/>
    <s v="Full Time"/>
    <x v="4"/>
    <x v="4"/>
    <n v="138000"/>
    <s v="US"/>
    <n v="100"/>
    <s v="US"/>
    <s v="North America"/>
    <s v="Small"/>
  </r>
  <r>
    <x v="0"/>
    <s v="Mid level"/>
    <s v="MI"/>
    <s v="Full Time"/>
    <x v="0"/>
    <x v="0"/>
    <n v="45760"/>
    <s v="PH"/>
    <n v="100"/>
    <s v="US"/>
    <s v="North America"/>
    <s v="Small"/>
  </r>
  <r>
    <x v="0"/>
    <s v="Expert Level"/>
    <s v="EX"/>
    <s v="Full Time"/>
    <x v="5"/>
    <x v="16"/>
    <n v="79833"/>
    <s v="ES"/>
    <n v="50"/>
    <s v="ES"/>
    <s v="Europe"/>
    <s v="Large"/>
  </r>
  <r>
    <x v="0"/>
    <s v="Mid level"/>
    <s v="MI"/>
    <s v="Full Time"/>
    <x v="4"/>
    <x v="17"/>
    <n v="50180"/>
    <s v="PT"/>
    <n v="0"/>
    <s v="PT"/>
    <s v="Europe"/>
    <s v="Medium"/>
  </r>
  <r>
    <x v="0"/>
    <s v="Mid level"/>
    <s v="MI"/>
    <s v="Full Time"/>
    <x v="2"/>
    <x v="10"/>
    <n v="106000"/>
    <s v="US"/>
    <n v="100"/>
    <s v="US"/>
    <s v="North America"/>
    <s v="Large"/>
  </r>
  <r>
    <x v="0"/>
    <s v="Mid level"/>
    <s v="MI"/>
    <s v="Full Time"/>
    <x v="2"/>
    <x v="10"/>
    <n v="112872"/>
    <s v="GB"/>
    <n v="50"/>
    <s v="GB"/>
    <s v="Europe"/>
    <s v="Large"/>
  </r>
  <r>
    <x v="0"/>
    <s v="Entry Level"/>
    <s v="EN"/>
    <s v="Part Time"/>
    <x v="4"/>
    <x v="18"/>
    <n v="15966"/>
    <s v="DE"/>
    <n v="100"/>
    <s v="DE"/>
    <s v="Europe"/>
    <s v="Small"/>
  </r>
  <r>
    <x v="0"/>
    <s v="Mid level"/>
    <s v="MI"/>
    <s v="Full Time"/>
    <x v="0"/>
    <x v="0"/>
    <n v="76958"/>
    <s v="GB"/>
    <n v="100"/>
    <s v="GB"/>
    <s v="Europe"/>
    <s v="Small"/>
  </r>
  <r>
    <x v="0"/>
    <s v="Senior Level"/>
    <s v="SE"/>
    <s v="Full Time"/>
    <x v="2"/>
    <x v="10"/>
    <n v="188000"/>
    <s v="US"/>
    <n v="100"/>
    <s v="US"/>
    <s v="North America"/>
    <s v="Large"/>
  </r>
  <r>
    <x v="0"/>
    <s v="Mid level"/>
    <s v="MI"/>
    <s v="Full Time"/>
    <x v="0"/>
    <x v="0"/>
    <n v="105000"/>
    <s v="US"/>
    <n v="100"/>
    <s v="US"/>
    <s v="North America"/>
    <s v="Large"/>
  </r>
  <r>
    <x v="0"/>
    <s v="Mid level"/>
    <s v="MI"/>
    <s v="Full Time"/>
    <x v="2"/>
    <x v="10"/>
    <n v="70139"/>
    <s v="FR"/>
    <n v="50"/>
    <s v="FR"/>
    <s v="Europe"/>
    <s v="Large"/>
  </r>
  <r>
    <x v="0"/>
    <s v="Entry Level"/>
    <s v="EN"/>
    <s v="Full Time"/>
    <x v="3"/>
    <x v="5"/>
    <n v="6072"/>
    <s v="IN"/>
    <n v="0"/>
    <s v="IN"/>
    <s v="Asia"/>
    <s v="Small"/>
  </r>
  <r>
    <x v="0"/>
    <s v="Entry Level"/>
    <s v="EN"/>
    <s v="Full Time"/>
    <x v="3"/>
    <x v="5"/>
    <n v="91000"/>
    <s v="US"/>
    <n v="100"/>
    <s v="US"/>
    <s v="North America"/>
    <s v="Large"/>
  </r>
  <r>
    <x v="0"/>
    <s v="Entry Level"/>
    <s v="EN"/>
    <s v="Full Time"/>
    <x v="0"/>
    <x v="19"/>
    <n v="45896"/>
    <s v="DK"/>
    <n v="50"/>
    <s v="DK"/>
    <s v="Europe"/>
    <s v="Small"/>
  </r>
  <r>
    <x v="0"/>
    <s v="Entry Level"/>
    <s v="EN"/>
    <s v="Full Time"/>
    <x v="2"/>
    <x v="10"/>
    <n v="54742"/>
    <s v="PK"/>
    <n v="100"/>
    <s v="DE"/>
    <s v="Europe"/>
    <s v="Large"/>
  </r>
  <r>
    <x v="0"/>
    <s v="Senior Level"/>
    <s v="SE"/>
    <s v="Freelance"/>
    <x v="2"/>
    <x v="20"/>
    <n v="60000"/>
    <s v="RU"/>
    <n v="100"/>
    <s v="US"/>
    <s v="North America"/>
    <s v="Small"/>
  </r>
  <r>
    <x v="0"/>
    <s v="Senior Level"/>
    <s v="SE"/>
    <s v="Full Time"/>
    <x v="1"/>
    <x v="21"/>
    <n v="148261"/>
    <s v="DE"/>
    <n v="100"/>
    <s v="DE"/>
    <s v="Europe"/>
    <s v="Medium"/>
  </r>
  <r>
    <x v="0"/>
    <s v="Mid level"/>
    <s v="MI"/>
    <s v="Full Time"/>
    <x v="0"/>
    <x v="0"/>
    <n v="38776"/>
    <s v="ES"/>
    <n v="100"/>
    <s v="ES"/>
    <s v="Europe"/>
    <s v="Medium"/>
  </r>
  <r>
    <x v="0"/>
    <s v="Mid level"/>
    <s v="MI"/>
    <s v="Full Time"/>
    <x v="0"/>
    <x v="0"/>
    <n v="118000"/>
    <s v="US"/>
    <n v="100"/>
    <s v="US"/>
    <s v="North America"/>
    <s v="Medium"/>
  </r>
  <r>
    <x v="0"/>
    <s v="Senior Level"/>
    <s v="SE"/>
    <s v="Full Time"/>
    <x v="0"/>
    <x v="0"/>
    <n v="120000"/>
    <s v="US"/>
    <n v="50"/>
    <s v="US"/>
    <s v="North America"/>
    <s v="Large"/>
  </r>
  <r>
    <x v="0"/>
    <s v="Mid level"/>
    <s v="MI"/>
    <s v="Full Time"/>
    <x v="0"/>
    <x v="0"/>
    <n v="138350"/>
    <s v="US"/>
    <n v="100"/>
    <s v="US"/>
    <s v="North America"/>
    <s v="Medium"/>
  </r>
  <r>
    <x v="0"/>
    <s v="Mid level"/>
    <s v="MI"/>
    <s v="Full Time"/>
    <x v="2"/>
    <x v="10"/>
    <n v="110000"/>
    <s v="US"/>
    <n v="100"/>
    <s v="US"/>
    <s v="North America"/>
    <s v="Large"/>
  </r>
  <r>
    <x v="0"/>
    <s v="Mid level"/>
    <s v="MI"/>
    <s v="Full Time"/>
    <x v="2"/>
    <x v="10"/>
    <n v="130800"/>
    <s v="ES"/>
    <n v="100"/>
    <s v="US"/>
    <s v="North America"/>
    <s v="Medium"/>
  </r>
  <r>
    <x v="0"/>
    <s v="Entry Level"/>
    <s v="EN"/>
    <s v="Part Time"/>
    <x v="0"/>
    <x v="0"/>
    <n v="21669"/>
    <s v="IT"/>
    <n v="50"/>
    <s v="IT"/>
    <s v="Europe"/>
    <s v="Small"/>
  </r>
  <r>
    <x v="0"/>
    <s v="Senior Level"/>
    <s v="SE"/>
    <s v="Full Time"/>
    <x v="0"/>
    <x v="0"/>
    <n v="412000"/>
    <s v="US"/>
    <n v="100"/>
    <s v="US"/>
    <s v="North America"/>
    <s v="Large"/>
  </r>
  <r>
    <x v="0"/>
    <s v="Senior Level"/>
    <s v="SE"/>
    <s v="Full Time"/>
    <x v="4"/>
    <x v="4"/>
    <n v="45618"/>
    <s v="HR"/>
    <n v="100"/>
    <s v="HR"/>
    <s v="Europe"/>
    <s v="Small"/>
  </r>
  <r>
    <x v="0"/>
    <s v="Entry Level"/>
    <s v="EN"/>
    <s v="Full Time"/>
    <x v="0"/>
    <x v="0"/>
    <n v="62726"/>
    <s v="DE"/>
    <n v="50"/>
    <s v="DE"/>
    <s v="Europe"/>
    <s v="Small"/>
  </r>
  <r>
    <x v="0"/>
    <s v="Entry Level"/>
    <s v="EN"/>
    <s v="Full Time"/>
    <x v="0"/>
    <x v="0"/>
    <n v="49268"/>
    <s v="DE"/>
    <n v="0"/>
    <s v="DE"/>
    <s v="Europe"/>
    <s v="Small"/>
  </r>
  <r>
    <x v="0"/>
    <s v="Senior Level"/>
    <s v="SE"/>
    <s v="Full Time"/>
    <x v="5"/>
    <x v="22"/>
    <n v="190200"/>
    <s v="US"/>
    <n v="100"/>
    <s v="US"/>
    <s v="North America"/>
    <s v="Medium"/>
  </r>
  <r>
    <x v="0"/>
    <s v="Entry Level"/>
    <s v="EN"/>
    <s v="Full Time"/>
    <x v="0"/>
    <x v="0"/>
    <n v="105000"/>
    <s v="US"/>
    <n v="100"/>
    <s v="US"/>
    <s v="North America"/>
    <s v="Small"/>
  </r>
  <r>
    <x v="0"/>
    <s v="Senior Level"/>
    <s v="SE"/>
    <s v="Full Time"/>
    <x v="0"/>
    <x v="0"/>
    <n v="91237"/>
    <s v="AT"/>
    <n v="0"/>
    <s v="AT"/>
    <s v="Europe"/>
    <s v="Small"/>
  </r>
  <r>
    <x v="0"/>
    <s v="Mid level"/>
    <s v="MI"/>
    <s v="Full Time"/>
    <x v="0"/>
    <x v="0"/>
    <n v="62726"/>
    <s v="FR"/>
    <n v="50"/>
    <s v="LU"/>
    <s v="Europe"/>
    <s v="Small"/>
  </r>
  <r>
    <x v="0"/>
    <s v="Mid level"/>
    <s v="MI"/>
    <s v="Full Time"/>
    <x v="0"/>
    <x v="0"/>
    <n v="42197"/>
    <s v="FR"/>
    <n v="50"/>
    <s v="FR"/>
    <s v="Europe"/>
    <s v="Small"/>
  </r>
  <r>
    <x v="1"/>
    <s v="Entry Level"/>
    <s v="EN"/>
    <s v="Full Time"/>
    <x v="1"/>
    <x v="14"/>
    <n v="82528"/>
    <s v="GB"/>
    <n v="50"/>
    <s v="GB"/>
    <s v="Europe"/>
    <s v="Large"/>
  </r>
  <r>
    <x v="1"/>
    <s v="Expert Level"/>
    <s v="EX"/>
    <s v="Full Time"/>
    <x v="3"/>
    <x v="12"/>
    <n v="150000"/>
    <s v="IN"/>
    <n v="100"/>
    <s v="US"/>
    <s v="North America"/>
    <s v="Large"/>
  </r>
  <r>
    <x v="1"/>
    <s v="Expert Level"/>
    <s v="EX"/>
    <s v="Full Time"/>
    <x v="5"/>
    <x v="23"/>
    <n v="235000"/>
    <s v="US"/>
    <n v="100"/>
    <s v="US"/>
    <s v="North America"/>
    <s v="Large"/>
  </r>
  <r>
    <x v="1"/>
    <s v="Senior Level"/>
    <s v="SE"/>
    <s v="Full Time"/>
    <x v="0"/>
    <x v="0"/>
    <n v="53192"/>
    <s v="FR"/>
    <n v="50"/>
    <s v="FR"/>
    <s v="Europe"/>
    <s v="Large"/>
  </r>
  <r>
    <x v="1"/>
    <s v="Mid level"/>
    <s v="MI"/>
    <s v="Full Time"/>
    <x v="3"/>
    <x v="12"/>
    <n v="100000"/>
    <s v="US"/>
    <n v="100"/>
    <s v="US"/>
    <s v="North America"/>
    <s v="Medium"/>
  </r>
  <r>
    <x v="1"/>
    <s v="Mid level"/>
    <s v="MI"/>
    <s v="Part Time"/>
    <x v="6"/>
    <x v="24"/>
    <n v="5409"/>
    <s v="IN"/>
    <n v="50"/>
    <s v="IN"/>
    <s v="Asia"/>
    <s v="Medium"/>
  </r>
  <r>
    <x v="1"/>
    <s v="Mid level"/>
    <s v="MI"/>
    <s v="Contract"/>
    <x v="4"/>
    <x v="18"/>
    <n v="270000"/>
    <s v="US"/>
    <n v="100"/>
    <s v="US"/>
    <s v="North America"/>
    <s v="Large"/>
  </r>
  <r>
    <x v="1"/>
    <s v="Entry Level"/>
    <s v="EN"/>
    <s v="Full Time"/>
    <x v="3"/>
    <x v="5"/>
    <n v="80000"/>
    <s v="US"/>
    <n v="100"/>
    <s v="US"/>
    <s v="North America"/>
    <s v="Medium"/>
  </r>
  <r>
    <x v="1"/>
    <s v="Senior Level"/>
    <s v="SE"/>
    <s v="Full Time"/>
    <x v="3"/>
    <x v="25"/>
    <n v="79197"/>
    <s v="DE"/>
    <n v="100"/>
    <s v="DE"/>
    <s v="Europe"/>
    <s v="Large"/>
  </r>
  <r>
    <x v="1"/>
    <s v="Mid level"/>
    <s v="MI"/>
    <s v="Full Time"/>
    <x v="2"/>
    <x v="10"/>
    <n v="140000"/>
    <s v="US"/>
    <n v="100"/>
    <s v="US"/>
    <s v="North America"/>
    <s v="Large"/>
  </r>
  <r>
    <x v="1"/>
    <s v="Mid level"/>
    <s v="MI"/>
    <s v="Full Time"/>
    <x v="0"/>
    <x v="26"/>
    <n v="54238"/>
    <s v="GB"/>
    <n v="50"/>
    <s v="CA"/>
    <s v="North America"/>
    <s v="Large"/>
  </r>
  <r>
    <x v="1"/>
    <s v="Mid level"/>
    <s v="MI"/>
    <s v="Full Time"/>
    <x v="4"/>
    <x v="4"/>
    <n v="47282"/>
    <s v="ES"/>
    <n v="100"/>
    <s v="ES"/>
    <s v="Europe"/>
    <s v="Small"/>
  </r>
  <r>
    <x v="1"/>
    <s v="Expert Level"/>
    <s v="EX"/>
    <s v="Full Time"/>
    <x v="5"/>
    <x v="13"/>
    <n v="153667"/>
    <s v="IT"/>
    <n v="100"/>
    <s v="PL"/>
    <s v="Europe"/>
    <s v="Large"/>
  </r>
  <r>
    <x v="1"/>
    <s v="Mid level"/>
    <s v="MI"/>
    <s v="Full Time"/>
    <x v="2"/>
    <x v="10"/>
    <n v="28476"/>
    <s v="PL"/>
    <n v="100"/>
    <s v="PL"/>
    <s v="Europe"/>
    <s v="Large"/>
  </r>
  <r>
    <x v="1"/>
    <s v="Entry Level"/>
    <s v="EN"/>
    <s v="Full Time"/>
    <x v="3"/>
    <x v="5"/>
    <n v="59102"/>
    <s v="FR"/>
    <n v="50"/>
    <s v="FR"/>
    <s v="Europe"/>
    <s v="Medium"/>
  </r>
  <r>
    <x v="1"/>
    <s v="Mid level"/>
    <s v="MI"/>
    <s v="Full Time"/>
    <x v="3"/>
    <x v="25"/>
    <n v="110000"/>
    <s v="US"/>
    <n v="100"/>
    <s v="US"/>
    <s v="North America"/>
    <s v="Large"/>
  </r>
  <r>
    <x v="1"/>
    <s v="Senior Level"/>
    <s v="SE"/>
    <s v="Full Time"/>
    <x v="5"/>
    <x v="9"/>
    <n v="170000"/>
    <s v="US"/>
    <n v="100"/>
    <s v="US"/>
    <s v="North America"/>
    <s v="Large"/>
  </r>
  <r>
    <x v="1"/>
    <s v="Senior Level"/>
    <s v="SE"/>
    <s v="Full Time"/>
    <x v="3"/>
    <x v="5"/>
    <n v="80000"/>
    <s v="BG"/>
    <n v="100"/>
    <s v="US"/>
    <s v="North America"/>
    <s v="Small"/>
  </r>
  <r>
    <x v="1"/>
    <s v="Senior Level"/>
    <s v="SE"/>
    <s v="Full Time"/>
    <x v="3"/>
    <x v="27"/>
    <n v="88654"/>
    <s v="GR"/>
    <n v="100"/>
    <s v="DK"/>
    <s v="Europe"/>
    <s v="Large"/>
  </r>
  <r>
    <x v="1"/>
    <s v="Entry Level"/>
    <s v="EN"/>
    <s v="Full Time"/>
    <x v="3"/>
    <x v="11"/>
    <n v="76833"/>
    <s v="DE"/>
    <n v="100"/>
    <s v="DE"/>
    <s v="Europe"/>
    <s v="Small"/>
  </r>
  <r>
    <x v="1"/>
    <s v="Mid level"/>
    <s v="MI"/>
    <s v="Full Time"/>
    <x v="5"/>
    <x v="9"/>
    <n v="19609"/>
    <s v="IN"/>
    <n v="100"/>
    <s v="IN"/>
    <s v="Asia"/>
    <s v="Large"/>
  </r>
  <r>
    <x v="1"/>
    <s v="Senior Level"/>
    <s v="SE"/>
    <s v="Full Time"/>
    <x v="5"/>
    <x v="8"/>
    <n v="276000"/>
    <s v="US"/>
    <n v="0"/>
    <s v="US"/>
    <s v="North America"/>
    <s v="Large"/>
  </r>
  <r>
    <x v="1"/>
    <s v="Entry Level"/>
    <s v="EN"/>
    <s v="Full Time"/>
    <x v="0"/>
    <x v="0"/>
    <n v="29751"/>
    <s v="IN"/>
    <n v="50"/>
    <s v="IN"/>
    <s v="Asia"/>
    <s v="Large"/>
  </r>
  <r>
    <x v="1"/>
    <s v="Mid level"/>
    <s v="MI"/>
    <s v="Full Time"/>
    <x v="2"/>
    <x v="28"/>
    <n v="89294"/>
    <s v="SG"/>
    <n v="50"/>
    <s v="SG"/>
    <s v="Asia"/>
    <s v="Large"/>
  </r>
  <r>
    <x v="1"/>
    <s v="Entry Level"/>
    <s v="EN"/>
    <s v="Part Time"/>
    <x v="0"/>
    <x v="19"/>
    <n v="12000"/>
    <s v="BR"/>
    <n v="100"/>
    <s v="US"/>
    <s v="North America"/>
    <s v="Small"/>
  </r>
  <r>
    <x v="1"/>
    <s v="Mid level"/>
    <s v="MI"/>
    <s v="Full Time"/>
    <x v="3"/>
    <x v="29"/>
    <n v="450000"/>
    <s v="US"/>
    <n v="100"/>
    <s v="US"/>
    <s v="North America"/>
    <s v="Large"/>
  </r>
  <r>
    <x v="1"/>
    <s v="Entry Level"/>
    <s v="EN"/>
    <s v="Full Time"/>
    <x v="6"/>
    <x v="30"/>
    <n v="70000"/>
    <s v="US"/>
    <n v="100"/>
    <s v="US"/>
    <s v="North America"/>
    <s v="Medium"/>
  </r>
  <r>
    <x v="1"/>
    <s v="Mid level"/>
    <s v="MI"/>
    <s v="Full Time"/>
    <x v="6"/>
    <x v="30"/>
    <n v="95746"/>
    <s v="DE"/>
    <n v="100"/>
    <s v="US"/>
    <s v="North America"/>
    <s v="Small"/>
  </r>
  <r>
    <x v="1"/>
    <s v="Mid level"/>
    <s v="MI"/>
    <s v="Full Time"/>
    <x v="3"/>
    <x v="5"/>
    <n v="75000"/>
    <s v="US"/>
    <n v="0"/>
    <s v="US"/>
    <s v="North America"/>
    <s v="Large"/>
  </r>
  <r>
    <x v="1"/>
    <s v="Senior Level"/>
    <s v="SE"/>
    <s v="Full Time"/>
    <x v="2"/>
    <x v="10"/>
    <n v="150000"/>
    <s v="US"/>
    <n v="100"/>
    <s v="US"/>
    <s v="North America"/>
    <s v="Large"/>
  </r>
  <r>
    <x v="1"/>
    <s v="Mid level"/>
    <s v="MI"/>
    <s v="Full Time"/>
    <x v="3"/>
    <x v="12"/>
    <n v="36259"/>
    <s v="HU"/>
    <n v="50"/>
    <s v="US"/>
    <s v="North America"/>
    <s v="Large"/>
  </r>
  <r>
    <x v="1"/>
    <s v="Mid level"/>
    <s v="MI"/>
    <s v="Full Time"/>
    <x v="3"/>
    <x v="5"/>
    <n v="62000"/>
    <s v="US"/>
    <n v="0"/>
    <s v="US"/>
    <s v="North America"/>
    <s v="Large"/>
  </r>
  <r>
    <x v="1"/>
    <s v="Mid level"/>
    <s v="MI"/>
    <s v="Full Time"/>
    <x v="0"/>
    <x v="0"/>
    <n v="73000"/>
    <s v="US"/>
    <n v="0"/>
    <s v="US"/>
    <s v="North America"/>
    <s v="Large"/>
  </r>
  <r>
    <x v="1"/>
    <s v="Mid level"/>
    <s v="MI"/>
    <s v="Full Time"/>
    <x v="3"/>
    <x v="5"/>
    <n v="51519"/>
    <s v="GB"/>
    <n v="50"/>
    <s v="GB"/>
    <s v="Europe"/>
    <s v="Large"/>
  </r>
  <r>
    <x v="1"/>
    <s v="Mid level"/>
    <s v="MI"/>
    <s v="Full Time"/>
    <x v="1"/>
    <x v="14"/>
    <n v="187442"/>
    <s v="CA"/>
    <n v="100"/>
    <s v="CA"/>
    <s v="North America"/>
    <s v="Large"/>
  </r>
  <r>
    <x v="1"/>
    <s v="Senior Level"/>
    <s v="SE"/>
    <s v="Full Time"/>
    <x v="2"/>
    <x v="10"/>
    <n v="115000"/>
    <s v="US"/>
    <n v="100"/>
    <s v="US"/>
    <s v="North America"/>
    <s v="Small"/>
  </r>
  <r>
    <x v="1"/>
    <s v="Senior Level"/>
    <s v="SE"/>
    <s v="Full Time"/>
    <x v="2"/>
    <x v="10"/>
    <n v="150000"/>
    <s v="US"/>
    <n v="100"/>
    <s v="US"/>
    <s v="North America"/>
    <s v="Medium"/>
  </r>
  <r>
    <x v="1"/>
    <s v="Entry Level"/>
    <s v="EN"/>
    <s v="Full Time"/>
    <x v="2"/>
    <x v="10"/>
    <n v="30428"/>
    <s v="IN"/>
    <n v="100"/>
    <s v="IN"/>
    <s v="Asia"/>
    <s v="Large"/>
  </r>
  <r>
    <x v="1"/>
    <s v="Senior Level"/>
    <s v="SE"/>
    <s v="Full Time"/>
    <x v="4"/>
    <x v="4"/>
    <n v="94564"/>
    <s v="DE"/>
    <n v="50"/>
    <s v="DE"/>
    <s v="Europe"/>
    <s v="Large"/>
  </r>
  <r>
    <x v="1"/>
    <s v="Senior Level"/>
    <s v="SE"/>
    <s v="Full Time"/>
    <x v="5"/>
    <x v="31"/>
    <n v="113476"/>
    <s v="GB"/>
    <n v="100"/>
    <s v="GB"/>
    <s v="Europe"/>
    <s v="Medium"/>
  </r>
  <r>
    <x v="1"/>
    <s v="Senior Level"/>
    <s v="SE"/>
    <s v="Full Time"/>
    <x v="5"/>
    <x v="8"/>
    <n v="103160"/>
    <s v="GB"/>
    <n v="100"/>
    <s v="GB"/>
    <s v="Europe"/>
    <s v="Small"/>
  </r>
  <r>
    <x v="1"/>
    <s v="Entry Level"/>
    <s v="EN"/>
    <s v="Part Time"/>
    <x v="0"/>
    <x v="19"/>
    <n v="12000"/>
    <s v="PK"/>
    <n v="100"/>
    <s v="US"/>
    <s v="North America"/>
    <s v="Medium"/>
  </r>
  <r>
    <x v="1"/>
    <s v="Mid level"/>
    <s v="MI"/>
    <s v="Full Time"/>
    <x v="2"/>
    <x v="10"/>
    <n v="45391"/>
    <s v="NL"/>
    <n v="100"/>
    <s v="NL"/>
    <s v="Europe"/>
    <s v="Large"/>
  </r>
  <r>
    <x v="1"/>
    <s v="Entry Level"/>
    <s v="EN"/>
    <s v="Full Time"/>
    <x v="1"/>
    <x v="1"/>
    <n v="225000"/>
    <s v="US"/>
    <n v="100"/>
    <s v="US"/>
    <s v="North America"/>
    <s v="Large"/>
  </r>
  <r>
    <x v="1"/>
    <s v="Mid level"/>
    <s v="MI"/>
    <s v="Full Time"/>
    <x v="0"/>
    <x v="0"/>
    <n v="50000"/>
    <s v="NG"/>
    <n v="100"/>
    <s v="NG"/>
    <s v="Africa"/>
    <s v="Large"/>
  </r>
  <r>
    <x v="1"/>
    <s v="Mid level"/>
    <s v="MI"/>
    <s v="Full Time"/>
    <x v="2"/>
    <x v="32"/>
    <n v="40189"/>
    <s v="GR"/>
    <n v="100"/>
    <s v="GR"/>
    <s v="Europe"/>
    <s v="Medium"/>
  </r>
  <r>
    <x v="1"/>
    <s v="Entry Level"/>
    <s v="EN"/>
    <s v="Full Time"/>
    <x v="3"/>
    <x v="5"/>
    <n v="90000"/>
    <s v="US"/>
    <n v="100"/>
    <s v="US"/>
    <s v="North America"/>
    <s v="Small"/>
  </r>
  <r>
    <x v="1"/>
    <s v="Mid level"/>
    <s v="MI"/>
    <s v="Full Time"/>
    <x v="2"/>
    <x v="10"/>
    <n v="200000"/>
    <s v="US"/>
    <n v="100"/>
    <s v="US"/>
    <s v="North America"/>
    <s v="Large"/>
  </r>
  <r>
    <x v="1"/>
    <s v="Mid level"/>
    <s v="MI"/>
    <s v="Full Time"/>
    <x v="2"/>
    <x v="2"/>
    <n v="60000"/>
    <s v="ES"/>
    <n v="50"/>
    <s v="RO"/>
    <s v="Europe"/>
    <s v="Medium"/>
  </r>
  <r>
    <x v="1"/>
    <s v="Senior Level"/>
    <s v="SE"/>
    <s v="Full Time"/>
    <x v="2"/>
    <x v="33"/>
    <n v="200000"/>
    <s v="US"/>
    <n v="100"/>
    <s v="US"/>
    <s v="North America"/>
    <s v="Medium"/>
  </r>
  <r>
    <x v="1"/>
    <s v="Entry Level"/>
    <s v="EN"/>
    <s v="Full Time"/>
    <x v="3"/>
    <x v="5"/>
    <n v="50000"/>
    <s v="US"/>
    <n v="100"/>
    <s v="US"/>
    <s v="North America"/>
    <s v="Medium"/>
  </r>
  <r>
    <x v="1"/>
    <s v="Entry Level"/>
    <s v="EN"/>
    <s v="Full Time"/>
    <x v="0"/>
    <x v="26"/>
    <n v="110037"/>
    <s v="GB"/>
    <n v="0"/>
    <s v="GB"/>
    <s v="Europe"/>
    <s v="Large"/>
  </r>
  <r>
    <x v="1"/>
    <s v="Entry Level"/>
    <s v="EN"/>
    <s v="Part Time"/>
    <x v="3"/>
    <x v="5"/>
    <n v="10354"/>
    <s v="ES"/>
    <n v="50"/>
    <s v="ES"/>
    <s v="Europe"/>
    <s v="Medium"/>
  </r>
  <r>
    <x v="1"/>
    <s v="Mid level"/>
    <s v="MI"/>
    <s v="Full Time"/>
    <x v="1"/>
    <x v="21"/>
    <n v="151000"/>
    <s v="US"/>
    <n v="100"/>
    <s v="US"/>
    <s v="North America"/>
    <s v="Large"/>
  </r>
  <r>
    <x v="1"/>
    <s v="Senior Level"/>
    <s v="SE"/>
    <s v="Full Time"/>
    <x v="1"/>
    <x v="1"/>
    <n v="120000"/>
    <s v="US"/>
    <n v="50"/>
    <s v="US"/>
    <s v="North America"/>
    <s v="Small"/>
  </r>
  <r>
    <x v="1"/>
    <s v="Mid level"/>
    <s v="MI"/>
    <s v="Full Time"/>
    <x v="0"/>
    <x v="0"/>
    <n v="9466"/>
    <s v="IN"/>
    <n v="0"/>
    <s v="IN"/>
    <s v="Asia"/>
    <s v="Small"/>
  </r>
  <r>
    <x v="1"/>
    <s v="Entry Level"/>
    <s v="EN"/>
    <s v="Full Time"/>
    <x v="4"/>
    <x v="4"/>
    <n v="20000"/>
    <s v="IN"/>
    <n v="100"/>
    <s v="IN"/>
    <s v="Asia"/>
    <s v="Small"/>
  </r>
  <r>
    <x v="1"/>
    <s v="Senior Level"/>
    <s v="SE"/>
    <s v="Full Time"/>
    <x v="5"/>
    <x v="6"/>
    <n v="40570"/>
    <s v="IN"/>
    <n v="50"/>
    <s v="IN"/>
    <s v="Asia"/>
    <s v="Large"/>
  </r>
  <r>
    <x v="1"/>
    <s v="Entry Level"/>
    <s v="EN"/>
    <s v="Full Time"/>
    <x v="4"/>
    <x v="34"/>
    <n v="100000"/>
    <s v="IQ"/>
    <n v="50"/>
    <s v="IQ"/>
    <s v="Asia"/>
    <s v="Small"/>
  </r>
  <r>
    <x v="1"/>
    <s v="Entry Level"/>
    <s v="EN"/>
    <s v="Full Time"/>
    <x v="0"/>
    <x v="0"/>
    <n v="49646"/>
    <s v="FR"/>
    <n v="50"/>
    <s v="FR"/>
    <s v="Europe"/>
    <s v="Medium"/>
  </r>
  <r>
    <x v="1"/>
    <s v="Mid level"/>
    <s v="MI"/>
    <s v="Full Time"/>
    <x v="0"/>
    <x v="35"/>
    <n v="38400"/>
    <s v="VN"/>
    <n v="100"/>
    <s v="US"/>
    <s v="North America"/>
    <s v="Medium"/>
  </r>
  <r>
    <x v="1"/>
    <s v="Senior Level"/>
    <s v="SE"/>
    <s v="Full Time"/>
    <x v="2"/>
    <x v="20"/>
    <n v="24000"/>
    <s v="BR"/>
    <n v="100"/>
    <s v="BR"/>
    <s v="South America"/>
    <s v="Medium"/>
  </r>
  <r>
    <x v="1"/>
    <s v="Entry Level"/>
    <s v="EN"/>
    <s v="Full Time"/>
    <x v="0"/>
    <x v="0"/>
    <n v="100000"/>
    <s v="US"/>
    <n v="0"/>
    <s v="US"/>
    <s v="North America"/>
    <s v="Small"/>
  </r>
  <r>
    <x v="1"/>
    <s v="Mid level"/>
    <s v="MI"/>
    <s v="Full Time"/>
    <x v="3"/>
    <x v="5"/>
    <n v="90000"/>
    <s v="US"/>
    <n v="100"/>
    <s v="US"/>
    <s v="North America"/>
    <s v="Medium"/>
  </r>
  <r>
    <x v="1"/>
    <s v="Mid level"/>
    <s v="MI"/>
    <s v="Full Time"/>
    <x v="4"/>
    <x v="18"/>
    <n v="63711"/>
    <s v="JP"/>
    <n v="50"/>
    <s v="JP"/>
    <s v="Asia"/>
    <s v="Small"/>
  </r>
  <r>
    <x v="1"/>
    <s v="Mid level"/>
    <s v="MI"/>
    <s v="Full Time"/>
    <x v="4"/>
    <x v="18"/>
    <n v="77364"/>
    <s v="JP"/>
    <n v="50"/>
    <s v="JP"/>
    <s v="Asia"/>
    <s v="Small"/>
  </r>
  <r>
    <x v="1"/>
    <s v="Senior Level"/>
    <s v="SE"/>
    <s v="Full Time"/>
    <x v="1"/>
    <x v="21"/>
    <n v="220000"/>
    <s v="US"/>
    <n v="0"/>
    <s v="US"/>
    <s v="North America"/>
    <s v="Large"/>
  </r>
  <r>
    <x v="1"/>
    <s v="Entry Level"/>
    <s v="EN"/>
    <s v="Full Time"/>
    <x v="0"/>
    <x v="0"/>
    <n v="80000"/>
    <s v="US"/>
    <n v="100"/>
    <s v="US"/>
    <s v="North America"/>
    <s v="Medium"/>
  </r>
  <r>
    <x v="1"/>
    <s v="Mid level"/>
    <s v="MI"/>
    <s v="Full Time"/>
    <x v="3"/>
    <x v="5"/>
    <n v="135000"/>
    <s v="US"/>
    <n v="100"/>
    <s v="US"/>
    <s v="North America"/>
    <s v="Large"/>
  </r>
  <r>
    <x v="1"/>
    <s v="Senior Level"/>
    <s v="SE"/>
    <s v="Full Time"/>
    <x v="5"/>
    <x v="22"/>
    <n v="240000"/>
    <s v="US"/>
    <n v="0"/>
    <s v="US"/>
    <s v="North America"/>
    <s v="Large"/>
  </r>
  <r>
    <x v="1"/>
    <s v="Senior Level"/>
    <s v="SE"/>
    <s v="Full Time"/>
    <x v="5"/>
    <x v="16"/>
    <n v="150000"/>
    <s v="US"/>
    <n v="0"/>
    <s v="US"/>
    <s v="North America"/>
    <s v="Large"/>
  </r>
  <r>
    <x v="1"/>
    <s v="Mid level"/>
    <s v="MI"/>
    <s v="Full Time"/>
    <x v="0"/>
    <x v="0"/>
    <n v="82500"/>
    <s v="US"/>
    <n v="100"/>
    <s v="US"/>
    <s v="North America"/>
    <s v="Small"/>
  </r>
  <r>
    <x v="1"/>
    <s v="Mid level"/>
    <s v="MI"/>
    <s v="Full Time"/>
    <x v="2"/>
    <x v="10"/>
    <n v="100000"/>
    <s v="US"/>
    <n v="100"/>
    <s v="US"/>
    <s v="North America"/>
    <s v="Large"/>
  </r>
  <r>
    <x v="1"/>
    <s v="Senior Level"/>
    <s v="SE"/>
    <s v="Full Time"/>
    <x v="4"/>
    <x v="4"/>
    <n v="82744"/>
    <s v="BE"/>
    <n v="50"/>
    <s v="BE"/>
    <s v="Europe"/>
    <s v="Medium"/>
  </r>
  <r>
    <x v="1"/>
    <s v="Mid level"/>
    <s v="MI"/>
    <s v="Full Time"/>
    <x v="1"/>
    <x v="14"/>
    <n v="62649"/>
    <s v="FR"/>
    <n v="50"/>
    <s v="FR"/>
    <s v="Europe"/>
    <s v="Medium"/>
  </r>
  <r>
    <x v="1"/>
    <s v="Mid level"/>
    <s v="MI"/>
    <s v="Full Time"/>
    <x v="2"/>
    <x v="10"/>
    <n v="90000"/>
    <s v="US"/>
    <n v="100"/>
    <s v="US"/>
    <s v="North America"/>
    <s v="Large"/>
  </r>
  <r>
    <x v="1"/>
    <s v="Senior Level"/>
    <s v="SE"/>
    <s v="Full Time"/>
    <x v="5"/>
    <x v="16"/>
    <n v="153000"/>
    <s v="US"/>
    <n v="100"/>
    <s v="US"/>
    <s v="North America"/>
    <s v="Large"/>
  </r>
  <r>
    <x v="1"/>
    <s v="Senior Level"/>
    <s v="SE"/>
    <s v="Full Time"/>
    <x v="2"/>
    <x v="28"/>
    <n v="160000"/>
    <s v="BR"/>
    <n v="100"/>
    <s v="US"/>
    <s v="North America"/>
    <s v="Small"/>
  </r>
  <r>
    <x v="1"/>
    <s v="Senior Level"/>
    <s v="SE"/>
    <s v="Full Time"/>
    <x v="5"/>
    <x v="13"/>
    <n v="168000"/>
    <s v="JP"/>
    <n v="0"/>
    <s v="JP"/>
    <s v="Asia"/>
    <s v="Small"/>
  </r>
  <r>
    <x v="1"/>
    <s v="Mid level"/>
    <s v="MI"/>
    <s v="Full Time"/>
    <x v="0"/>
    <x v="0"/>
    <n v="150000"/>
    <s v="US"/>
    <n v="100"/>
    <s v="US"/>
    <s v="North America"/>
    <s v="Medium"/>
  </r>
  <r>
    <x v="1"/>
    <s v="Mid level"/>
    <s v="MI"/>
    <s v="Full Time"/>
    <x v="0"/>
    <x v="0"/>
    <n v="75774"/>
    <s v="CA"/>
    <n v="100"/>
    <s v="CA"/>
    <s v="North America"/>
    <s v="Large"/>
  </r>
  <r>
    <x v="1"/>
    <s v="Entry Level"/>
    <s v="EN"/>
    <s v="Full Time"/>
    <x v="0"/>
    <x v="0"/>
    <n v="13400"/>
    <s v="UA"/>
    <n v="100"/>
    <s v="UA"/>
    <s v="Europe"/>
    <s v="Large"/>
  </r>
  <r>
    <x v="1"/>
    <s v="Senior Level"/>
    <s v="SE"/>
    <s v="Full Time"/>
    <x v="5"/>
    <x v="22"/>
    <n v="144000"/>
    <s v="US"/>
    <n v="100"/>
    <s v="US"/>
    <s v="North America"/>
    <s v="Large"/>
  </r>
  <r>
    <x v="1"/>
    <s v="Senior Level"/>
    <s v="SE"/>
    <s v="Full Time"/>
    <x v="2"/>
    <x v="32"/>
    <n v="127221"/>
    <s v="CA"/>
    <n v="50"/>
    <s v="CA"/>
    <s v="North America"/>
    <s v="Large"/>
  </r>
  <r>
    <x v="1"/>
    <s v="Mid level"/>
    <s v="MI"/>
    <s v="Full Time"/>
    <x v="0"/>
    <x v="0"/>
    <n v="119059"/>
    <s v="SG"/>
    <n v="100"/>
    <s v="IL"/>
    <s v="Asia"/>
    <s v="Medium"/>
  </r>
  <r>
    <x v="1"/>
    <s v="Mid level"/>
    <s v="MI"/>
    <s v="Full Time"/>
    <x v="0"/>
    <x v="35"/>
    <n v="423000"/>
    <s v="US"/>
    <n v="50"/>
    <s v="US"/>
    <s v="North America"/>
    <s v="Large"/>
  </r>
  <r>
    <x v="1"/>
    <s v="Senior Level"/>
    <s v="SE"/>
    <s v="Full Time"/>
    <x v="5"/>
    <x v="36"/>
    <n v="120000"/>
    <s v="US"/>
    <n v="100"/>
    <s v="US"/>
    <s v="North America"/>
    <s v="Medium"/>
  </r>
  <r>
    <x v="1"/>
    <s v="Entry Level"/>
    <s v="EN"/>
    <s v="Full Time"/>
    <x v="4"/>
    <x v="4"/>
    <n v="125000"/>
    <s v="US"/>
    <n v="100"/>
    <s v="US"/>
    <s v="North America"/>
    <s v="Small"/>
  </r>
  <r>
    <x v="1"/>
    <s v="Expert Level"/>
    <s v="EX"/>
    <s v="Full Time"/>
    <x v="5"/>
    <x v="23"/>
    <n v="230000"/>
    <s v="RU"/>
    <n v="50"/>
    <s v="RU"/>
    <s v="Europe"/>
    <s v="Large"/>
  </r>
  <r>
    <x v="1"/>
    <s v="Expert Level"/>
    <s v="EX"/>
    <s v="Full Time"/>
    <x v="5"/>
    <x v="37"/>
    <n v="85000"/>
    <s v="RU"/>
    <n v="0"/>
    <s v="RU"/>
    <s v="Europe"/>
    <s v="Medium"/>
  </r>
  <r>
    <x v="1"/>
    <s v="Mid level"/>
    <s v="MI"/>
    <s v="Full Time"/>
    <x v="2"/>
    <x v="10"/>
    <n v="28369"/>
    <s v="MT"/>
    <n v="50"/>
    <s v="MT"/>
    <s v="Europe"/>
    <s v="Large"/>
  </r>
  <r>
    <x v="1"/>
    <s v="Entry Level"/>
    <s v="EN"/>
    <s v="Full Time"/>
    <x v="3"/>
    <x v="11"/>
    <n v="63831"/>
    <s v="DE"/>
    <n v="50"/>
    <s v="DE"/>
    <s v="Europe"/>
    <s v="Large"/>
  </r>
  <r>
    <x v="1"/>
    <s v="Expert Level"/>
    <s v="EX"/>
    <s v="Full Time"/>
    <x v="5"/>
    <x v="13"/>
    <n v="130026"/>
    <s v="DE"/>
    <n v="50"/>
    <s v="DE"/>
    <s v="Europe"/>
    <s v="Medium"/>
  </r>
  <r>
    <x v="1"/>
    <s v="Senior Level"/>
    <s v="SE"/>
    <s v="Full Time"/>
    <x v="3"/>
    <x v="38"/>
    <n v="165000"/>
    <s v="US"/>
    <n v="100"/>
    <s v="US"/>
    <s v="North America"/>
    <s v="Large"/>
  </r>
  <r>
    <x v="1"/>
    <s v="Entry Level"/>
    <s v="EN"/>
    <s v="Full Time"/>
    <x v="2"/>
    <x v="10"/>
    <n v="80000"/>
    <s v="US"/>
    <n v="100"/>
    <s v="US"/>
    <s v="North America"/>
    <s v="Large"/>
  </r>
  <r>
    <x v="1"/>
    <s v="Expert Level"/>
    <s v="EX"/>
    <s v="Full Time"/>
    <x v="5"/>
    <x v="13"/>
    <n v="250000"/>
    <s v="US"/>
    <n v="0"/>
    <s v="US"/>
    <s v="North America"/>
    <s v="Large"/>
  </r>
  <r>
    <x v="1"/>
    <s v="Entry Level"/>
    <s v="EN"/>
    <s v="Full Time"/>
    <x v="3"/>
    <x v="12"/>
    <n v="55000"/>
    <s v="US"/>
    <n v="50"/>
    <s v="US"/>
    <s v="North America"/>
    <s v="Small"/>
  </r>
  <r>
    <x v="1"/>
    <s v="Mid level"/>
    <s v="MI"/>
    <s v="Full Time"/>
    <x v="2"/>
    <x v="39"/>
    <n v="150000"/>
    <s v="US"/>
    <n v="100"/>
    <s v="US"/>
    <s v="North America"/>
    <s v="Large"/>
  </r>
  <r>
    <x v="1"/>
    <s v="Mid level"/>
    <s v="MI"/>
    <s v="Full Time"/>
    <x v="2"/>
    <x v="39"/>
    <n v="170000"/>
    <s v="US"/>
    <n v="100"/>
    <s v="US"/>
    <s v="North America"/>
    <s v="Large"/>
  </r>
  <r>
    <x v="1"/>
    <s v="Mid level"/>
    <s v="MI"/>
    <s v="Full Time"/>
    <x v="2"/>
    <x v="10"/>
    <n v="82528"/>
    <s v="GB"/>
    <n v="100"/>
    <s v="GB"/>
    <s v="Europe"/>
    <s v="Large"/>
  </r>
  <r>
    <x v="1"/>
    <s v="Entry Level"/>
    <s v="EN"/>
    <s v="Full Time"/>
    <x v="3"/>
    <x v="5"/>
    <n v="60000"/>
    <s v="US"/>
    <n v="100"/>
    <s v="US"/>
    <s v="North America"/>
    <s v="Small"/>
  </r>
  <r>
    <x v="1"/>
    <s v="Senior Level"/>
    <s v="SE"/>
    <s v="Full Time"/>
    <x v="1"/>
    <x v="21"/>
    <n v="235000"/>
    <s v="US"/>
    <n v="100"/>
    <s v="US"/>
    <s v="North America"/>
    <s v="Large"/>
  </r>
  <r>
    <x v="1"/>
    <s v="Senior Level"/>
    <s v="SE"/>
    <s v="Full Time"/>
    <x v="1"/>
    <x v="14"/>
    <n v="60757"/>
    <s v="PT"/>
    <n v="50"/>
    <s v="PT"/>
    <s v="Europe"/>
    <s v="Large"/>
  </r>
  <r>
    <x v="1"/>
    <s v="Senior Level"/>
    <s v="SE"/>
    <s v="Full Time"/>
    <x v="5"/>
    <x v="16"/>
    <n v="174000"/>
    <s v="US"/>
    <n v="100"/>
    <s v="US"/>
    <s v="North America"/>
    <s v="Large"/>
  </r>
  <r>
    <x v="1"/>
    <s v="Mid level"/>
    <s v="MI"/>
    <s v="Full Time"/>
    <x v="0"/>
    <x v="0"/>
    <n v="2859"/>
    <s v="MX"/>
    <n v="0"/>
    <s v="MX"/>
    <s v="North America"/>
    <s v="Small"/>
  </r>
  <r>
    <x v="1"/>
    <s v="Mid level"/>
    <s v="MI"/>
    <s v="Full Time"/>
    <x v="0"/>
    <x v="0"/>
    <n v="40038"/>
    <s v="CL"/>
    <n v="100"/>
    <s v="CL"/>
    <s v="South America"/>
    <s v="Large"/>
  </r>
  <r>
    <x v="1"/>
    <s v="Entry Level"/>
    <s v="EN"/>
    <s v="Full Time"/>
    <x v="4"/>
    <x v="4"/>
    <n v="81000"/>
    <s v="US"/>
    <n v="50"/>
    <s v="US"/>
    <s v="North America"/>
    <s v="Small"/>
  </r>
  <r>
    <x v="1"/>
    <s v="Mid level"/>
    <s v="MI"/>
    <s v="Full Time"/>
    <x v="0"/>
    <x v="0"/>
    <n v="5679"/>
    <s v="IN"/>
    <n v="100"/>
    <s v="US"/>
    <s v="North America"/>
    <s v="Small"/>
  </r>
  <r>
    <x v="1"/>
    <s v="Mid level"/>
    <s v="MI"/>
    <s v="Full Time"/>
    <x v="2"/>
    <x v="2"/>
    <n v="22611"/>
    <s v="IN"/>
    <n v="0"/>
    <s v="IN"/>
    <s v="Asia"/>
    <s v="Large"/>
  </r>
  <r>
    <x v="1"/>
    <s v="Mid level"/>
    <s v="MI"/>
    <s v="Full Time"/>
    <x v="0"/>
    <x v="0"/>
    <n v="90734"/>
    <s v="DE"/>
    <n v="50"/>
    <s v="DE"/>
    <s v="Europe"/>
    <s v="Large"/>
  </r>
  <r>
    <x v="1"/>
    <s v="Mid level"/>
    <s v="MI"/>
    <s v="Full Time"/>
    <x v="2"/>
    <x v="10"/>
    <n v="26005"/>
    <s v="RO"/>
    <n v="0"/>
    <s v="US"/>
    <s v="North America"/>
    <s v="Large"/>
  </r>
  <r>
    <x v="1"/>
    <s v="Senior Level"/>
    <s v="SE"/>
    <s v="Full Time"/>
    <x v="3"/>
    <x v="40"/>
    <n v="61896"/>
    <s v="GB"/>
    <n v="50"/>
    <s v="GB"/>
    <s v="Europe"/>
    <s v="Large"/>
  </r>
  <r>
    <x v="1"/>
    <s v="Mid level"/>
    <s v="MI"/>
    <s v="Freelance"/>
    <x v="1"/>
    <x v="1"/>
    <n v="12000"/>
    <s v="PK"/>
    <n v="50"/>
    <s v="PK"/>
    <s v="Asia"/>
    <s v="Medium"/>
  </r>
  <r>
    <x v="1"/>
    <s v="Mid level"/>
    <s v="MI"/>
    <s v="Full Time"/>
    <x v="2"/>
    <x v="10"/>
    <n v="4000"/>
    <s v="IR"/>
    <n v="100"/>
    <s v="IR"/>
    <s v="Asia"/>
    <s v="Medium"/>
  </r>
  <r>
    <x v="1"/>
    <s v="Senior Level"/>
    <s v="SE"/>
    <s v="Full Time"/>
    <x v="3"/>
    <x v="25"/>
    <n v="50000"/>
    <s v="VN"/>
    <n v="100"/>
    <s v="GB"/>
    <s v="Europe"/>
    <s v="Medium"/>
  </r>
  <r>
    <x v="1"/>
    <s v="Expert Level"/>
    <s v="EX"/>
    <s v="Full Time"/>
    <x v="3"/>
    <x v="11"/>
    <n v="69741"/>
    <s v="FR"/>
    <n v="100"/>
    <s v="ES"/>
    <s v="Europe"/>
    <s v="Small"/>
  </r>
  <r>
    <x v="1"/>
    <s v="Senior Level"/>
    <s v="SE"/>
    <s v="Full Time"/>
    <x v="2"/>
    <x v="10"/>
    <n v="76833"/>
    <s v="RO"/>
    <n v="50"/>
    <s v="GB"/>
    <s v="Europe"/>
    <s v="Small"/>
  </r>
  <r>
    <x v="1"/>
    <s v="Mid level"/>
    <s v="MI"/>
    <s v="Full Time"/>
    <x v="4"/>
    <x v="4"/>
    <n v="74000"/>
    <s v="JP"/>
    <n v="50"/>
    <s v="JP"/>
    <s v="Asia"/>
    <s v="Small"/>
  </r>
  <r>
    <x v="1"/>
    <s v="Senior Level"/>
    <s v="SE"/>
    <s v="Full Time"/>
    <x v="5"/>
    <x v="22"/>
    <n v="152000"/>
    <s v="US"/>
    <n v="100"/>
    <s v="FR"/>
    <s v="Europe"/>
    <s v="Large"/>
  </r>
  <r>
    <x v="1"/>
    <s v="Entry Level"/>
    <s v="EN"/>
    <s v="Full Time"/>
    <x v="4"/>
    <x v="4"/>
    <n v="21844"/>
    <s v="CO"/>
    <n v="50"/>
    <s v="CO"/>
    <s v="South America"/>
    <s v="Medium"/>
  </r>
  <r>
    <x v="1"/>
    <s v="Mid level"/>
    <s v="MI"/>
    <s v="Full Time"/>
    <x v="2"/>
    <x v="2"/>
    <n v="18000"/>
    <s v="MD"/>
    <n v="0"/>
    <s v="MD"/>
    <s v="Europe"/>
    <s v="Small"/>
  </r>
  <r>
    <x v="1"/>
    <s v="Senior Level"/>
    <s v="SE"/>
    <s v="Full Time"/>
    <x v="5"/>
    <x v="22"/>
    <n v="174000"/>
    <s v="US"/>
    <n v="100"/>
    <s v="US"/>
    <s v="North America"/>
    <s v="Large"/>
  </r>
  <r>
    <x v="1"/>
    <s v="Senior Level"/>
    <s v="SE"/>
    <s v="Full Time"/>
    <x v="1"/>
    <x v="14"/>
    <n v="96113"/>
    <s v="CA"/>
    <n v="50"/>
    <s v="CA"/>
    <s v="North America"/>
    <s v="Large"/>
  </r>
  <r>
    <x v="1"/>
    <s v="Mid level"/>
    <s v="MI"/>
    <s v="Full Time"/>
    <x v="0"/>
    <x v="0"/>
    <n v="147000"/>
    <s v="US"/>
    <n v="50"/>
    <s v="US"/>
    <s v="North America"/>
    <s v="Large"/>
  </r>
  <r>
    <x v="1"/>
    <s v="Entry Level"/>
    <s v="EN"/>
    <s v="Full Time"/>
    <x v="3"/>
    <x v="12"/>
    <n v="9272"/>
    <s v="KE"/>
    <n v="100"/>
    <s v="KE"/>
    <s v="Africa"/>
    <s v="Small"/>
  </r>
  <r>
    <x v="1"/>
    <s v="Senior Level"/>
    <s v="SE"/>
    <s v="Full Time"/>
    <x v="4"/>
    <x v="4"/>
    <n v="24342"/>
    <s v="IN"/>
    <n v="100"/>
    <s v="IN"/>
    <s v="Asia"/>
    <s v="Large"/>
  </r>
  <r>
    <x v="1"/>
    <s v="Senior Level"/>
    <s v="SE"/>
    <s v="Full Time"/>
    <x v="5"/>
    <x v="22"/>
    <n v="54094"/>
    <s v="IN"/>
    <n v="50"/>
    <s v="US"/>
    <s v="North America"/>
    <s v="Large"/>
  </r>
  <r>
    <x v="1"/>
    <s v="Entry Level"/>
    <s v="EN"/>
    <s v="Full Time"/>
    <x v="3"/>
    <x v="11"/>
    <n v="90000"/>
    <s v="US"/>
    <n v="100"/>
    <s v="US"/>
    <s v="North America"/>
    <s v="Small"/>
  </r>
  <r>
    <x v="1"/>
    <s v="Mid level"/>
    <s v="MI"/>
    <s v="Full Time"/>
    <x v="0"/>
    <x v="0"/>
    <n v="61467"/>
    <s v="DE"/>
    <n v="50"/>
    <s v="AT"/>
    <s v="Europe"/>
    <s v="Medium"/>
  </r>
  <r>
    <x v="1"/>
    <s v="Senior Level"/>
    <s v="SE"/>
    <s v="Full Time"/>
    <x v="4"/>
    <x v="17"/>
    <n v="195000"/>
    <s v="US"/>
    <n v="100"/>
    <s v="US"/>
    <s v="North America"/>
    <s v="Medium"/>
  </r>
  <r>
    <x v="1"/>
    <s v="Mid level"/>
    <s v="MI"/>
    <s v="Full Time"/>
    <x v="0"/>
    <x v="0"/>
    <n v="37825"/>
    <s v="ES"/>
    <n v="100"/>
    <s v="ES"/>
    <s v="Europe"/>
    <s v="Large"/>
  </r>
  <r>
    <x v="1"/>
    <s v="Senior Level"/>
    <s v="SE"/>
    <s v="Full Time"/>
    <x v="1"/>
    <x v="14"/>
    <n v="50000"/>
    <s v="FR"/>
    <n v="100"/>
    <s v="US"/>
    <s v="North America"/>
    <s v="Small"/>
  </r>
  <r>
    <x v="1"/>
    <s v="Mid level"/>
    <s v="MI"/>
    <s v="Full Time"/>
    <x v="0"/>
    <x v="0"/>
    <n v="160000"/>
    <s v="US"/>
    <n v="100"/>
    <s v="US"/>
    <s v="North America"/>
    <s v="Large"/>
  </r>
  <r>
    <x v="1"/>
    <s v="Mid level"/>
    <s v="MI"/>
    <s v="Full Time"/>
    <x v="0"/>
    <x v="0"/>
    <n v="12901"/>
    <s v="BR"/>
    <n v="0"/>
    <s v="BR"/>
    <s v="South America"/>
    <s v="Small"/>
  </r>
  <r>
    <x v="1"/>
    <s v="Senior Level"/>
    <s v="SE"/>
    <s v="Full Time"/>
    <x v="4"/>
    <x v="4"/>
    <n v="200000"/>
    <s v="US"/>
    <n v="100"/>
    <s v="US"/>
    <s v="North America"/>
    <s v="Large"/>
  </r>
  <r>
    <x v="1"/>
    <s v="Senior Level"/>
    <s v="SE"/>
    <s v="Full Time"/>
    <x v="2"/>
    <x v="10"/>
    <n v="165000"/>
    <s v="US"/>
    <n v="0"/>
    <s v="US"/>
    <s v="North America"/>
    <s v="Medium"/>
  </r>
  <r>
    <x v="1"/>
    <s v="Mid level"/>
    <s v="MI"/>
    <s v="Freelance"/>
    <x v="2"/>
    <x v="10"/>
    <n v="20000"/>
    <s v="IT"/>
    <n v="0"/>
    <s v="US"/>
    <s v="North America"/>
    <s v="Large"/>
  </r>
  <r>
    <x v="1"/>
    <s v="Senior Level"/>
    <s v="SE"/>
    <s v="Full Time"/>
    <x v="5"/>
    <x v="36"/>
    <n v="120000"/>
    <s v="US"/>
    <n v="0"/>
    <s v="US"/>
    <s v="North America"/>
    <s v="Large"/>
  </r>
  <r>
    <x v="1"/>
    <s v="Mid level"/>
    <s v="MI"/>
    <s v="Full Time"/>
    <x v="4"/>
    <x v="4"/>
    <n v="24823"/>
    <s v="SI"/>
    <n v="50"/>
    <s v="SI"/>
    <s v="Europe"/>
    <s v="Large"/>
  </r>
  <r>
    <x v="1"/>
    <s v="Mid level"/>
    <s v="MI"/>
    <s v="Full Time"/>
    <x v="1"/>
    <x v="14"/>
    <n v="56738"/>
    <s v="FR"/>
    <n v="50"/>
    <s v="FR"/>
    <s v="Europe"/>
    <s v="Small"/>
  </r>
  <r>
    <x v="1"/>
    <s v="Mid level"/>
    <s v="MI"/>
    <s v="Full Time"/>
    <x v="2"/>
    <x v="10"/>
    <n v="66022"/>
    <s v="HK"/>
    <n v="50"/>
    <s v="GB"/>
    <s v="Europe"/>
    <s v="Small"/>
  </r>
  <r>
    <x v="1"/>
    <s v="Entry Level"/>
    <s v="EN"/>
    <s v="Full Time"/>
    <x v="2"/>
    <x v="2"/>
    <n v="5882"/>
    <s v="IN"/>
    <n v="0"/>
    <s v="CH"/>
    <s v="Europe"/>
    <s v="Large"/>
  </r>
  <r>
    <x v="1"/>
    <s v="Entry Level"/>
    <s v="EN"/>
    <s v="Full Time"/>
    <x v="4"/>
    <x v="4"/>
    <n v="24823"/>
    <s v="DE"/>
    <n v="50"/>
    <s v="DE"/>
    <s v="Europe"/>
    <s v="Medium"/>
  </r>
  <r>
    <x v="1"/>
    <s v="Senior Level"/>
    <s v="SE"/>
    <s v="Full Time"/>
    <x v="2"/>
    <x v="33"/>
    <n v="185000"/>
    <s v="US"/>
    <n v="100"/>
    <s v="US"/>
    <s v="North America"/>
    <s v="Large"/>
  </r>
  <r>
    <x v="1"/>
    <s v="Entry Level"/>
    <s v="EN"/>
    <s v="Part Time"/>
    <x v="2"/>
    <x v="20"/>
    <n v="28609"/>
    <s v="DK"/>
    <n v="50"/>
    <s v="DK"/>
    <s v="Europe"/>
    <s v="Small"/>
  </r>
  <r>
    <x v="1"/>
    <s v="Mid level"/>
    <s v="MI"/>
    <s v="Full Time"/>
    <x v="0"/>
    <x v="0"/>
    <n v="90734"/>
    <s v="DE"/>
    <n v="50"/>
    <s v="DE"/>
    <s v="Europe"/>
    <s v="Large"/>
  </r>
  <r>
    <x v="1"/>
    <s v="Mid level"/>
    <s v="MI"/>
    <s v="Full Time"/>
    <x v="4"/>
    <x v="4"/>
    <n v="88654"/>
    <s v="BE"/>
    <n v="100"/>
    <s v="BE"/>
    <s v="Europe"/>
    <s v="Medium"/>
  </r>
  <r>
    <x v="1"/>
    <s v="Senior Level"/>
    <s v="SE"/>
    <s v="Full Time"/>
    <x v="5"/>
    <x v="36"/>
    <n v="140000"/>
    <s v="US"/>
    <n v="100"/>
    <s v="US"/>
    <s v="North America"/>
    <s v="Large"/>
  </r>
  <r>
    <x v="1"/>
    <s v="Mid level"/>
    <s v="MI"/>
    <s v="Full Time"/>
    <x v="4"/>
    <x v="4"/>
    <n v="46597"/>
    <s v="PL"/>
    <n v="100"/>
    <s v="PL"/>
    <s v="Europe"/>
    <s v="Large"/>
  </r>
  <r>
    <x v="1"/>
    <s v="Mid level"/>
    <s v="MI"/>
    <s v="Full Time"/>
    <x v="0"/>
    <x v="0"/>
    <n v="116914"/>
    <s v="GB"/>
    <n v="50"/>
    <s v="GB"/>
    <s v="Europe"/>
    <s v="Large"/>
  </r>
  <r>
    <x v="1"/>
    <s v="Mid level"/>
    <s v="MI"/>
    <s v="Full Time"/>
    <x v="0"/>
    <x v="0"/>
    <n v="33808"/>
    <s v="IN"/>
    <n v="0"/>
    <s v="IN"/>
    <s v="Asia"/>
    <s v="Medium"/>
  </r>
  <r>
    <x v="1"/>
    <s v="Mid level"/>
    <s v="MI"/>
    <s v="Full Time"/>
    <x v="0"/>
    <x v="0"/>
    <n v="56256"/>
    <s v="GB"/>
    <n v="50"/>
    <s v="GB"/>
    <s v="Europe"/>
    <s v="Large"/>
  </r>
  <r>
    <x v="1"/>
    <s v="Senior Level"/>
    <s v="SE"/>
    <s v="Full Time"/>
    <x v="1"/>
    <x v="1"/>
    <n v="225000"/>
    <s v="US"/>
    <n v="100"/>
    <s v="CA"/>
    <s v="North America"/>
    <s v="Large"/>
  </r>
  <r>
    <x v="1"/>
    <s v="Expert Level"/>
    <s v="EX"/>
    <s v="Contract"/>
    <x v="1"/>
    <x v="21"/>
    <n v="416000"/>
    <s v="US"/>
    <n v="100"/>
    <s v="US"/>
    <s v="North America"/>
    <s v="Small"/>
  </r>
  <r>
    <x v="1"/>
    <s v="Senior Level"/>
    <s v="SE"/>
    <s v="Full Time"/>
    <x v="0"/>
    <x v="0"/>
    <n v="87738"/>
    <s v="CA"/>
    <n v="100"/>
    <s v="CA"/>
    <s v="North America"/>
    <s v="Small"/>
  </r>
  <r>
    <x v="1"/>
    <s v="Mid level"/>
    <s v="MI"/>
    <s v="Full Time"/>
    <x v="0"/>
    <x v="0"/>
    <n v="88654"/>
    <s v="DE"/>
    <n v="50"/>
    <s v="DE"/>
    <s v="Europe"/>
    <s v="Large"/>
  </r>
  <r>
    <x v="1"/>
    <s v="Senior Level"/>
    <s v="SE"/>
    <s v="Full Time"/>
    <x v="0"/>
    <x v="0"/>
    <n v="135000"/>
    <s v="US"/>
    <n v="0"/>
    <s v="US"/>
    <s v="North America"/>
    <s v="Large"/>
  </r>
  <r>
    <x v="1"/>
    <s v="Senior Level"/>
    <s v="SE"/>
    <s v="Full Time"/>
    <x v="3"/>
    <x v="5"/>
    <n v="71786"/>
    <s v="CA"/>
    <n v="100"/>
    <s v="CA"/>
    <s v="North America"/>
    <s v="Medium"/>
  </r>
  <r>
    <x v="1"/>
    <s v="Entry Level"/>
    <s v="EN"/>
    <s v="Full Time"/>
    <x v="2"/>
    <x v="2"/>
    <n v="16228"/>
    <s v="IN"/>
    <n v="100"/>
    <s v="IN"/>
    <s v="Asia"/>
    <s v="Large"/>
  </r>
  <r>
    <x v="1"/>
    <s v="Senior Level"/>
    <s v="SE"/>
    <s v="Full Time"/>
    <x v="4"/>
    <x v="18"/>
    <n v="256000"/>
    <s v="US"/>
    <n v="100"/>
    <s v="US"/>
    <s v="North America"/>
    <s v="Small"/>
  </r>
  <r>
    <x v="1"/>
    <s v="Senior Level"/>
    <s v="SE"/>
    <s v="Full Time"/>
    <x v="5"/>
    <x v="31"/>
    <n v="200000"/>
    <s v="US"/>
    <n v="100"/>
    <s v="US"/>
    <s v="North America"/>
    <s v="Large"/>
  </r>
  <r>
    <x v="1"/>
    <s v="Senior Level"/>
    <s v="SE"/>
    <s v="Full Time"/>
    <x v="3"/>
    <x v="5"/>
    <n v="200000"/>
    <s v="US"/>
    <n v="100"/>
    <s v="US"/>
    <s v="North America"/>
    <s v="Large"/>
  </r>
  <r>
    <x v="1"/>
    <s v="Mid level"/>
    <s v="MI"/>
    <s v="Full Time"/>
    <x v="2"/>
    <x v="39"/>
    <n v="180000"/>
    <s v="US"/>
    <n v="100"/>
    <s v="US"/>
    <s v="North America"/>
    <s v="Large"/>
  </r>
  <r>
    <x v="1"/>
    <s v="Mid level"/>
    <s v="MI"/>
    <s v="Full Time"/>
    <x v="5"/>
    <x v="37"/>
    <n v="110000"/>
    <s v="US"/>
    <n v="0"/>
    <s v="US"/>
    <s v="North America"/>
    <s v="Small"/>
  </r>
  <r>
    <x v="1"/>
    <s v="Mid level"/>
    <s v="MI"/>
    <s v="Full Time"/>
    <x v="1"/>
    <x v="14"/>
    <n v="63810"/>
    <s v="CA"/>
    <n v="100"/>
    <s v="CA"/>
    <s v="North America"/>
    <s v="Medium"/>
  </r>
  <r>
    <x v="1"/>
    <s v="Mid level"/>
    <s v="MI"/>
    <s v="Full Time"/>
    <x v="0"/>
    <x v="0"/>
    <n v="46809"/>
    <s v="ES"/>
    <n v="100"/>
    <s v="ES"/>
    <s v="Europe"/>
    <s v="Medium"/>
  </r>
  <r>
    <x v="1"/>
    <s v="Entry Level"/>
    <s v="EN"/>
    <s v="Full Time"/>
    <x v="0"/>
    <x v="0"/>
    <n v="4000"/>
    <s v="VN"/>
    <n v="0"/>
    <s v="VN"/>
    <s v="Asia"/>
    <s v="Medium"/>
  </r>
  <r>
    <x v="1"/>
    <s v="Entry Level"/>
    <s v="EN"/>
    <s v="Full Time"/>
    <x v="2"/>
    <x v="10"/>
    <n v="21637"/>
    <s v="IN"/>
    <n v="50"/>
    <s v="IN"/>
    <s v="Asia"/>
    <s v="Medium"/>
  </r>
  <r>
    <x v="1"/>
    <s v="Senior Level"/>
    <s v="SE"/>
    <s v="Full Time"/>
    <x v="0"/>
    <x v="0"/>
    <n v="103691"/>
    <s v="CA"/>
    <n v="100"/>
    <s v="CA"/>
    <s v="North America"/>
    <s v="Large"/>
  </r>
  <r>
    <x v="1"/>
    <s v="Mid level"/>
    <s v="MI"/>
    <s v="Full Time"/>
    <x v="3"/>
    <x v="5"/>
    <n v="80000"/>
    <s v="US"/>
    <n v="100"/>
    <s v="US"/>
    <s v="North America"/>
    <s v="Large"/>
  </r>
  <r>
    <x v="1"/>
    <s v="Mid level"/>
    <s v="MI"/>
    <s v="Full Time"/>
    <x v="2"/>
    <x v="10"/>
    <n v="110000"/>
    <s v="US"/>
    <n v="100"/>
    <s v="US"/>
    <s v="North America"/>
    <s v="Large"/>
  </r>
  <r>
    <x v="1"/>
    <s v="Senior Level"/>
    <s v="SE"/>
    <s v="Full Time"/>
    <x v="0"/>
    <x v="0"/>
    <n v="165000"/>
    <s v="US"/>
    <n v="100"/>
    <s v="US"/>
    <s v="North America"/>
    <s v="Large"/>
  </r>
  <r>
    <x v="1"/>
    <s v="Entry Level"/>
    <s v="EN"/>
    <s v="Full Time"/>
    <x v="0"/>
    <x v="19"/>
    <n v="18053"/>
    <s v="IN"/>
    <n v="100"/>
    <s v="AS"/>
    <s v="Oceania"/>
    <s v="Small"/>
  </r>
  <r>
    <x v="1"/>
    <s v="Mid level"/>
    <s v="MI"/>
    <s v="Full Time"/>
    <x v="2"/>
    <x v="10"/>
    <n v="72212"/>
    <s v="GB"/>
    <n v="50"/>
    <s v="GB"/>
    <s v="Europe"/>
    <s v="Large"/>
  </r>
  <r>
    <x v="1"/>
    <s v="Entry Level"/>
    <s v="EN"/>
    <s v="Full Time"/>
    <x v="0"/>
    <x v="0"/>
    <n v="36643"/>
    <s v="FR"/>
    <n v="50"/>
    <s v="FR"/>
    <s v="Europe"/>
    <s v="Large"/>
  </r>
  <r>
    <x v="1"/>
    <s v="Mid level"/>
    <s v="MI"/>
    <s v="Full Time"/>
    <x v="2"/>
    <x v="10"/>
    <n v="12103"/>
    <s v="TR"/>
    <n v="0"/>
    <s v="TR"/>
    <s v="Europe"/>
    <s v="Medium"/>
  </r>
  <r>
    <x v="1"/>
    <s v="Senior Level"/>
    <s v="SE"/>
    <s v="Full Time"/>
    <x v="2"/>
    <x v="10"/>
    <n v="96282"/>
    <s v="GB"/>
    <n v="50"/>
    <s v="GB"/>
    <s v="Europe"/>
    <s v="Large"/>
  </r>
  <r>
    <x v="1"/>
    <s v="Senior Level"/>
    <s v="SE"/>
    <s v="Full Time"/>
    <x v="3"/>
    <x v="41"/>
    <n v="170000"/>
    <s v="US"/>
    <n v="100"/>
    <s v="US"/>
    <s v="North America"/>
    <s v="Medium"/>
  </r>
  <r>
    <x v="1"/>
    <s v="Mid level"/>
    <s v="MI"/>
    <s v="Full Time"/>
    <x v="0"/>
    <x v="0"/>
    <n v="115000"/>
    <s v="US"/>
    <n v="50"/>
    <s v="US"/>
    <s v="North America"/>
    <s v="Large"/>
  </r>
  <r>
    <x v="1"/>
    <s v="Entry Level"/>
    <s v="EN"/>
    <s v="Full Time"/>
    <x v="0"/>
    <x v="0"/>
    <n v="90000"/>
    <s v="US"/>
    <n v="100"/>
    <s v="US"/>
    <s v="North America"/>
    <s v="Small"/>
  </r>
  <r>
    <x v="1"/>
    <s v="Expert Level"/>
    <s v="EX"/>
    <s v="Full Time"/>
    <x v="2"/>
    <x v="33"/>
    <n v="600000"/>
    <s v="US"/>
    <n v="100"/>
    <s v="US"/>
    <s v="North America"/>
    <s v="Large"/>
  </r>
  <r>
    <x v="1"/>
    <s v="Entry Level"/>
    <s v="EN"/>
    <s v="Full Time"/>
    <x v="0"/>
    <x v="0"/>
    <n v="28399"/>
    <s v="IN"/>
    <n v="100"/>
    <s v="IN"/>
    <s v="Asia"/>
    <s v="Medium"/>
  </r>
  <r>
    <x v="1"/>
    <s v="Mid level"/>
    <s v="MI"/>
    <s v="Full Time"/>
    <x v="3"/>
    <x v="5"/>
    <n v="93000"/>
    <s v="US"/>
    <n v="100"/>
    <s v="US"/>
    <s v="North America"/>
    <s v="Large"/>
  </r>
  <r>
    <x v="1"/>
    <s v="Senior Level"/>
    <s v="SE"/>
    <s v="Full Time"/>
    <x v="2"/>
    <x v="42"/>
    <n v="99703"/>
    <s v="CA"/>
    <n v="50"/>
    <s v="CA"/>
    <s v="North America"/>
    <s v="Medium"/>
  </r>
  <r>
    <x v="1"/>
    <s v="Mid level"/>
    <s v="MI"/>
    <s v="Full Time"/>
    <x v="2"/>
    <x v="10"/>
    <n v="200000"/>
    <s v="US"/>
    <n v="100"/>
    <s v="US"/>
    <s v="North America"/>
    <s v="Large"/>
  </r>
  <r>
    <x v="1"/>
    <s v="Senior Level"/>
    <s v="SE"/>
    <s v="Full Time"/>
    <x v="1"/>
    <x v="21"/>
    <n v="173762"/>
    <s v="DE"/>
    <n v="100"/>
    <s v="DE"/>
    <s v="Europe"/>
    <s v="Medium"/>
  </r>
  <r>
    <x v="1"/>
    <s v="Senior Level"/>
    <s v="SE"/>
    <s v="Full Time"/>
    <x v="4"/>
    <x v="4"/>
    <n v="185000"/>
    <s v="US"/>
    <n v="50"/>
    <s v="US"/>
    <s v="North America"/>
    <s v="Large"/>
  </r>
  <r>
    <x v="1"/>
    <s v="Expert Level"/>
    <s v="EX"/>
    <s v="Full Time"/>
    <x v="5"/>
    <x v="13"/>
    <n v="141846"/>
    <s v="DE"/>
    <n v="0"/>
    <s v="DE"/>
    <s v="Europe"/>
    <s v="Large"/>
  </r>
  <r>
    <x v="1"/>
    <s v="Mid level"/>
    <s v="MI"/>
    <s v="Full Time"/>
    <x v="0"/>
    <x v="0"/>
    <n v="130000"/>
    <s v="US"/>
    <n v="50"/>
    <s v="US"/>
    <s v="North America"/>
    <s v="Large"/>
  </r>
  <r>
    <x v="1"/>
    <s v="Senior Level"/>
    <s v="SE"/>
    <s v="Full Time"/>
    <x v="3"/>
    <x v="5"/>
    <n v="63831"/>
    <s v="DE"/>
    <n v="50"/>
    <s v="DE"/>
    <s v="Europe"/>
    <s v="Large"/>
  </r>
  <r>
    <x v="1"/>
    <s v="Mid level"/>
    <s v="MI"/>
    <s v="Full Time"/>
    <x v="0"/>
    <x v="0"/>
    <n v="16904"/>
    <s v="IN"/>
    <n v="100"/>
    <s v="IN"/>
    <s v="Asia"/>
    <s v="Small"/>
  </r>
  <r>
    <x v="1"/>
    <s v="Senior Level"/>
    <s v="SE"/>
    <s v="Full Time"/>
    <x v="4"/>
    <x v="4"/>
    <n v="66265"/>
    <s v="IN"/>
    <n v="0"/>
    <s v="IN"/>
    <s v="Asia"/>
    <s v="Large"/>
  </r>
  <r>
    <x v="1"/>
    <s v="Mid level"/>
    <s v="MI"/>
    <s v="Full Time"/>
    <x v="0"/>
    <x v="0"/>
    <n v="25532"/>
    <s v="RS"/>
    <n v="100"/>
    <s v="DE"/>
    <s v="Europe"/>
    <s v="Small"/>
  </r>
  <r>
    <x v="1"/>
    <s v="Senior Level"/>
    <s v="SE"/>
    <s v="Full Time"/>
    <x v="5"/>
    <x v="8"/>
    <n v="160000"/>
    <s v="PR"/>
    <n v="50"/>
    <s v="US"/>
    <s v="North America"/>
    <s v="Small"/>
  </r>
  <r>
    <x v="1"/>
    <s v="Mid level"/>
    <s v="MI"/>
    <s v="Full Time"/>
    <x v="2"/>
    <x v="10"/>
    <n v="93150"/>
    <s v="US"/>
    <n v="0"/>
    <s v="US"/>
    <s v="North America"/>
    <s v="Medium"/>
  </r>
  <r>
    <x v="1"/>
    <s v="Mid level"/>
    <s v="MI"/>
    <s v="Full Time"/>
    <x v="2"/>
    <x v="10"/>
    <n v="111775"/>
    <s v="US"/>
    <n v="0"/>
    <s v="US"/>
    <s v="North America"/>
    <s v="Medium"/>
  </r>
  <r>
    <x v="1"/>
    <s v="Mid level"/>
    <s v="MI"/>
    <s v="Full Time"/>
    <x v="2"/>
    <x v="10"/>
    <n v="28016"/>
    <s v="TR"/>
    <n v="100"/>
    <s v="TR"/>
    <s v="Europe"/>
    <s v="Medium"/>
  </r>
  <r>
    <x v="1"/>
    <s v="Entry Level"/>
    <s v="EN"/>
    <s v="Full Time"/>
    <x v="2"/>
    <x v="10"/>
    <n v="65013"/>
    <s v="DE"/>
    <n v="50"/>
    <s v="DE"/>
    <s v="Europe"/>
    <s v="Medium"/>
  </r>
  <r>
    <x v="1"/>
    <s v="Entry Level"/>
    <s v="EN"/>
    <s v="Full Time"/>
    <x v="2"/>
    <x v="10"/>
    <n v="72500"/>
    <s v="US"/>
    <n v="100"/>
    <s v="US"/>
    <s v="North America"/>
    <s v="Large"/>
  </r>
  <r>
    <x v="1"/>
    <s v="Senior Level"/>
    <s v="SE"/>
    <s v="Full Time"/>
    <x v="2"/>
    <x v="20"/>
    <n v="18907"/>
    <s v="BR"/>
    <n v="0"/>
    <s v="BR"/>
    <s v="South America"/>
    <s v="Medium"/>
  </r>
  <r>
    <x v="1"/>
    <s v="Entry Level"/>
    <s v="EN"/>
    <s v="Full Time"/>
    <x v="3"/>
    <x v="11"/>
    <n v="76833"/>
    <s v="DE"/>
    <n v="0"/>
    <s v="DE"/>
    <s v="Europe"/>
    <s v="Large"/>
  </r>
  <r>
    <x v="1"/>
    <s v="Entry Level"/>
    <s v="EN"/>
    <s v="Full Time"/>
    <x v="4"/>
    <x v="4"/>
    <n v="85000"/>
    <s v="NL"/>
    <n v="100"/>
    <s v="DE"/>
    <s v="Europe"/>
    <s v="Small"/>
  </r>
  <r>
    <x v="1"/>
    <s v="Senior Level"/>
    <s v="SE"/>
    <s v="Full Time"/>
    <x v="0"/>
    <x v="0"/>
    <n v="77684"/>
    <s v="FR"/>
    <n v="50"/>
    <s v="FR"/>
    <s v="Europe"/>
    <s v="Medium"/>
  </r>
  <r>
    <x v="1"/>
    <s v="Entry Level"/>
    <s v="EN"/>
    <s v="Full Time"/>
    <x v="0"/>
    <x v="0"/>
    <n v="100000"/>
    <s v="US"/>
    <n v="100"/>
    <s v="US"/>
    <s v="North America"/>
    <s v="Medium"/>
  </r>
  <r>
    <x v="1"/>
    <s v="Entry Level"/>
    <s v="EN"/>
    <s v="Full Time"/>
    <x v="0"/>
    <x v="0"/>
    <n v="58000"/>
    <s v="US"/>
    <n v="50"/>
    <s v="US"/>
    <s v="North America"/>
    <s v="Large"/>
  </r>
  <r>
    <x v="1"/>
    <s v="Senior Level"/>
    <s v="SE"/>
    <s v="Full Time"/>
    <x v="0"/>
    <x v="19"/>
    <n v="55000"/>
    <s v="ES"/>
    <n v="100"/>
    <s v="ES"/>
    <s v="Europe"/>
    <s v="Large"/>
  </r>
  <r>
    <x v="1"/>
    <s v="Senior Level"/>
    <s v="SE"/>
    <s v="Full Time"/>
    <x v="0"/>
    <x v="0"/>
    <n v="20171"/>
    <s v="TR"/>
    <n v="50"/>
    <s v="TR"/>
    <s v="Europe"/>
    <s v="Large"/>
  </r>
  <r>
    <x v="1"/>
    <s v="Entry Level"/>
    <s v="EN"/>
    <s v="Full Time"/>
    <x v="3"/>
    <x v="7"/>
    <n v="59102"/>
    <s v="LU"/>
    <n v="100"/>
    <s v="LU"/>
    <s v="Europe"/>
    <s v="Large"/>
  </r>
  <r>
    <x v="1"/>
    <s v="Mid level"/>
    <s v="MI"/>
    <s v="Full Time"/>
    <x v="2"/>
    <x v="10"/>
    <n v="112000"/>
    <s v="US"/>
    <n v="100"/>
    <s v="US"/>
    <s v="North America"/>
    <s v="Large"/>
  </r>
  <r>
    <x v="1"/>
    <s v="Entry Level"/>
    <s v="EN"/>
    <s v="Full Time"/>
    <x v="1"/>
    <x v="14"/>
    <n v="100000"/>
    <s v="JE"/>
    <n v="0"/>
    <s v="CN"/>
    <s v="Asia"/>
    <s v="Large"/>
  </r>
  <r>
    <x v="1"/>
    <s v="Mid level"/>
    <s v="MI"/>
    <s v="Part Time"/>
    <x v="2"/>
    <x v="10"/>
    <n v="69741"/>
    <s v="NL"/>
    <n v="100"/>
    <s v="NL"/>
    <s v="Europe"/>
    <s v="Large"/>
  </r>
  <r>
    <x v="1"/>
    <s v="Senior Level"/>
    <s v="SE"/>
    <s v="Contract"/>
    <x v="1"/>
    <x v="43"/>
    <n v="105000"/>
    <s v="US"/>
    <n v="100"/>
    <s v="US"/>
    <s v="North America"/>
    <s v="Medium"/>
  </r>
  <r>
    <x v="1"/>
    <s v="Mid level"/>
    <s v="MI"/>
    <s v="Full Time"/>
    <x v="1"/>
    <x v="14"/>
    <n v="69999"/>
    <s v="CZ"/>
    <n v="50"/>
    <s v="CZ"/>
    <s v="Europe"/>
    <s v="Large"/>
  </r>
  <r>
    <x v="1"/>
    <s v="Senior Level"/>
    <s v="SE"/>
    <s v="Full Time"/>
    <x v="5"/>
    <x v="22"/>
    <n v="94665"/>
    <s v="IN"/>
    <n v="50"/>
    <s v="IN"/>
    <s v="Asia"/>
    <s v="Large"/>
  </r>
  <r>
    <x v="1"/>
    <s v="Senior Level"/>
    <s v="SE"/>
    <s v="Full Time"/>
    <x v="5"/>
    <x v="23"/>
    <n v="102839"/>
    <s v="SI"/>
    <n v="100"/>
    <s v="SI"/>
    <s v="Europe"/>
    <s v="Large"/>
  </r>
  <r>
    <x v="1"/>
    <s v="Mid level"/>
    <s v="MI"/>
    <s v="Full Time"/>
    <x v="0"/>
    <x v="0"/>
    <n v="109000"/>
    <s v="US"/>
    <n v="50"/>
    <s v="US"/>
    <s v="North America"/>
    <s v="Large"/>
  </r>
  <r>
    <x v="1"/>
    <s v="Mid level"/>
    <s v="MI"/>
    <s v="Full Time"/>
    <x v="4"/>
    <x v="4"/>
    <n v="51064"/>
    <s v="IT"/>
    <n v="50"/>
    <s v="IT"/>
    <s v="Europe"/>
    <s v="Large"/>
  </r>
  <r>
    <x v="2"/>
    <s v="Senior Level"/>
    <s v="SE"/>
    <s v="Full Time"/>
    <x v="2"/>
    <x v="10"/>
    <n v="135000"/>
    <s v="US"/>
    <n v="100"/>
    <s v="US"/>
    <s v="North America"/>
    <s v="Medium"/>
  </r>
  <r>
    <x v="2"/>
    <s v="Senior Level"/>
    <s v="SE"/>
    <s v="Full Time"/>
    <x v="3"/>
    <x v="5"/>
    <n v="155000"/>
    <s v="US"/>
    <n v="100"/>
    <s v="US"/>
    <s v="North America"/>
    <s v="Medium"/>
  </r>
  <r>
    <x v="2"/>
    <s v="Senior Level"/>
    <s v="SE"/>
    <s v="Full Time"/>
    <x v="3"/>
    <x v="5"/>
    <n v="120600"/>
    <s v="US"/>
    <n v="100"/>
    <s v="US"/>
    <s v="North America"/>
    <s v="Medium"/>
  </r>
  <r>
    <x v="2"/>
    <s v="Mid level"/>
    <s v="MI"/>
    <s v="Full Time"/>
    <x v="0"/>
    <x v="0"/>
    <n v="130000"/>
    <s v="US"/>
    <n v="0"/>
    <s v="US"/>
    <s v="North America"/>
    <s v="Medium"/>
  </r>
  <r>
    <x v="2"/>
    <s v="Mid level"/>
    <s v="MI"/>
    <s v="Full Time"/>
    <x v="0"/>
    <x v="0"/>
    <n v="90000"/>
    <s v="US"/>
    <n v="0"/>
    <s v="US"/>
    <s v="North America"/>
    <s v="Medium"/>
  </r>
  <r>
    <x v="2"/>
    <s v="Mid level"/>
    <s v="MI"/>
    <s v="Full Time"/>
    <x v="2"/>
    <x v="10"/>
    <n v="170000"/>
    <s v="US"/>
    <n v="100"/>
    <s v="US"/>
    <s v="North America"/>
    <s v="Medium"/>
  </r>
  <r>
    <x v="2"/>
    <s v="Mid level"/>
    <s v="MI"/>
    <s v="Full Time"/>
    <x v="2"/>
    <x v="10"/>
    <n v="150000"/>
    <s v="US"/>
    <n v="100"/>
    <s v="US"/>
    <s v="North America"/>
    <s v="Medium"/>
  </r>
  <r>
    <x v="2"/>
    <s v="Senior Level"/>
    <s v="SE"/>
    <s v="Full Time"/>
    <x v="3"/>
    <x v="5"/>
    <n v="102100"/>
    <s v="US"/>
    <n v="100"/>
    <s v="US"/>
    <s v="North America"/>
    <s v="Medium"/>
  </r>
  <r>
    <x v="2"/>
    <s v="Senior Level"/>
    <s v="SE"/>
    <s v="Full Time"/>
    <x v="3"/>
    <x v="5"/>
    <n v="84900"/>
    <s v="US"/>
    <n v="100"/>
    <s v="US"/>
    <s v="North America"/>
    <s v="Medium"/>
  </r>
  <r>
    <x v="2"/>
    <s v="Senior Level"/>
    <s v="SE"/>
    <s v="Full Time"/>
    <x v="0"/>
    <x v="0"/>
    <n v="136620"/>
    <s v="US"/>
    <n v="100"/>
    <s v="US"/>
    <s v="North America"/>
    <s v="Medium"/>
  </r>
  <r>
    <x v="2"/>
    <s v="Senior Level"/>
    <s v="SE"/>
    <s v="Full Time"/>
    <x v="0"/>
    <x v="0"/>
    <n v="99360"/>
    <s v="US"/>
    <n v="100"/>
    <s v="US"/>
    <s v="North America"/>
    <s v="Medium"/>
  </r>
  <r>
    <x v="2"/>
    <s v="Senior Level"/>
    <s v="SE"/>
    <s v="Full Time"/>
    <x v="0"/>
    <x v="0"/>
    <n v="117789"/>
    <s v="GB"/>
    <n v="0"/>
    <s v="GB"/>
    <s v="Europe"/>
    <s v="Medium"/>
  </r>
  <r>
    <x v="2"/>
    <s v="Senior Level"/>
    <s v="SE"/>
    <s v="Full Time"/>
    <x v="0"/>
    <x v="0"/>
    <n v="104702"/>
    <s v="GB"/>
    <n v="0"/>
    <s v="GB"/>
    <s v="Europe"/>
    <s v="Medium"/>
  </r>
  <r>
    <x v="2"/>
    <s v="Senior Level"/>
    <s v="SE"/>
    <s v="Full Time"/>
    <x v="0"/>
    <x v="0"/>
    <n v="146000"/>
    <s v="US"/>
    <n v="100"/>
    <s v="US"/>
    <s v="North America"/>
    <s v="Medium"/>
  </r>
  <r>
    <x v="2"/>
    <s v="Senior Level"/>
    <s v="SE"/>
    <s v="Full Time"/>
    <x v="0"/>
    <x v="0"/>
    <n v="123000"/>
    <s v="US"/>
    <n v="100"/>
    <s v="US"/>
    <s v="North America"/>
    <s v="Medium"/>
  </r>
  <r>
    <x v="2"/>
    <s v="Entry Level"/>
    <s v="EN"/>
    <s v="Full Time"/>
    <x v="2"/>
    <x v="10"/>
    <n v="52351"/>
    <s v="GB"/>
    <n v="100"/>
    <s v="GB"/>
    <s v="Europe"/>
    <s v="Medium"/>
  </r>
  <r>
    <x v="2"/>
    <s v="Senior Level"/>
    <s v="SE"/>
    <s v="Full Time"/>
    <x v="3"/>
    <x v="5"/>
    <n v="99000"/>
    <s v="US"/>
    <n v="0"/>
    <s v="US"/>
    <s v="North America"/>
    <s v="Medium"/>
  </r>
  <r>
    <x v="2"/>
    <s v="Senior Level"/>
    <s v="SE"/>
    <s v="Full Time"/>
    <x v="3"/>
    <x v="5"/>
    <n v="116000"/>
    <s v="US"/>
    <n v="0"/>
    <s v="US"/>
    <s v="North America"/>
    <s v="Medium"/>
  </r>
  <r>
    <x v="2"/>
    <s v="Mid level"/>
    <s v="MI"/>
    <s v="Full Time"/>
    <x v="3"/>
    <x v="5"/>
    <n v="106260"/>
    <s v="US"/>
    <n v="0"/>
    <s v="US"/>
    <s v="North America"/>
    <s v="Medium"/>
  </r>
  <r>
    <x v="2"/>
    <s v="Mid level"/>
    <s v="MI"/>
    <s v="Full Time"/>
    <x v="3"/>
    <x v="5"/>
    <n v="126500"/>
    <s v="US"/>
    <n v="0"/>
    <s v="US"/>
    <s v="North America"/>
    <s v="Medium"/>
  </r>
  <r>
    <x v="2"/>
    <s v="Expert Level"/>
    <s v="EX"/>
    <s v="Full Time"/>
    <x v="2"/>
    <x v="10"/>
    <n v="242000"/>
    <s v="US"/>
    <n v="100"/>
    <s v="US"/>
    <s v="North America"/>
    <s v="Medium"/>
  </r>
  <r>
    <x v="2"/>
    <s v="Expert Level"/>
    <s v="EX"/>
    <s v="Full Time"/>
    <x v="2"/>
    <x v="10"/>
    <n v="200000"/>
    <s v="US"/>
    <n v="100"/>
    <s v="US"/>
    <s v="North America"/>
    <s v="Medium"/>
  </r>
  <r>
    <x v="2"/>
    <s v="Mid level"/>
    <s v="MI"/>
    <s v="Full Time"/>
    <x v="0"/>
    <x v="0"/>
    <n v="65438"/>
    <s v="GB"/>
    <n v="0"/>
    <s v="GB"/>
    <s v="Europe"/>
    <s v="Medium"/>
  </r>
  <r>
    <x v="2"/>
    <s v="Mid level"/>
    <s v="MI"/>
    <s v="Full Time"/>
    <x v="0"/>
    <x v="0"/>
    <n v="39263"/>
    <s v="GB"/>
    <n v="0"/>
    <s v="GB"/>
    <s v="Europe"/>
    <s v="Medium"/>
  </r>
  <r>
    <x v="2"/>
    <s v="Mid level"/>
    <s v="MI"/>
    <s v="Full Time"/>
    <x v="2"/>
    <x v="10"/>
    <n v="78526"/>
    <s v="GB"/>
    <n v="0"/>
    <s v="GB"/>
    <s v="Europe"/>
    <s v="Medium"/>
  </r>
  <r>
    <x v="2"/>
    <s v="Mid level"/>
    <s v="MI"/>
    <s v="Full Time"/>
    <x v="2"/>
    <x v="10"/>
    <n v="52351"/>
    <s v="GB"/>
    <n v="0"/>
    <s v="GB"/>
    <s v="Europe"/>
    <s v="Medium"/>
  </r>
  <r>
    <x v="2"/>
    <s v="Senior Level"/>
    <s v="SE"/>
    <s v="Full Time"/>
    <x v="0"/>
    <x v="0"/>
    <n v="165220"/>
    <s v="US"/>
    <n v="100"/>
    <s v="US"/>
    <s v="North America"/>
    <s v="Medium"/>
  </r>
  <r>
    <x v="2"/>
    <s v="Entry Level"/>
    <s v="EN"/>
    <s v="Full Time"/>
    <x v="2"/>
    <x v="10"/>
    <n v="45807"/>
    <s v="GB"/>
    <n v="100"/>
    <s v="GB"/>
    <s v="Europe"/>
    <s v="Medium"/>
  </r>
  <r>
    <x v="2"/>
    <s v="Senior Level"/>
    <s v="SE"/>
    <s v="Full Time"/>
    <x v="0"/>
    <x v="0"/>
    <n v="120160"/>
    <s v="US"/>
    <n v="100"/>
    <s v="US"/>
    <s v="North America"/>
    <s v="Medium"/>
  </r>
  <r>
    <x v="2"/>
    <s v="Senior Level"/>
    <s v="SE"/>
    <s v="Full Time"/>
    <x v="3"/>
    <x v="5"/>
    <n v="90320"/>
    <s v="US"/>
    <n v="100"/>
    <s v="US"/>
    <s v="North America"/>
    <s v="Medium"/>
  </r>
  <r>
    <x v="2"/>
    <s v="Senior Level"/>
    <s v="SE"/>
    <s v="Full Time"/>
    <x v="2"/>
    <x v="10"/>
    <n v="181940"/>
    <s v="US"/>
    <n v="0"/>
    <s v="US"/>
    <s v="North America"/>
    <s v="Medium"/>
  </r>
  <r>
    <x v="2"/>
    <s v="Senior Level"/>
    <s v="SE"/>
    <s v="Full Time"/>
    <x v="2"/>
    <x v="10"/>
    <n v="132320"/>
    <s v="US"/>
    <n v="0"/>
    <s v="US"/>
    <s v="North America"/>
    <s v="Medium"/>
  </r>
  <r>
    <x v="2"/>
    <s v="Senior Level"/>
    <s v="SE"/>
    <s v="Full Time"/>
    <x v="2"/>
    <x v="10"/>
    <n v="220110"/>
    <s v="US"/>
    <n v="0"/>
    <s v="US"/>
    <s v="North America"/>
    <s v="Medium"/>
  </r>
  <r>
    <x v="2"/>
    <s v="Senior Level"/>
    <s v="SE"/>
    <s v="Full Time"/>
    <x v="2"/>
    <x v="10"/>
    <n v="160080"/>
    <s v="US"/>
    <n v="0"/>
    <s v="US"/>
    <s v="North America"/>
    <s v="Medium"/>
  </r>
  <r>
    <x v="2"/>
    <s v="Senior Level"/>
    <s v="SE"/>
    <s v="Full Time"/>
    <x v="0"/>
    <x v="0"/>
    <n v="180000"/>
    <s v="US"/>
    <n v="0"/>
    <s v="US"/>
    <s v="North America"/>
    <s v="Large"/>
  </r>
  <r>
    <x v="2"/>
    <s v="Senior Level"/>
    <s v="SE"/>
    <s v="Full Time"/>
    <x v="0"/>
    <x v="0"/>
    <n v="120000"/>
    <s v="US"/>
    <n v="0"/>
    <s v="US"/>
    <s v="North America"/>
    <s v="Large"/>
  </r>
  <r>
    <x v="2"/>
    <s v="Senior Level"/>
    <s v="SE"/>
    <s v="Full Time"/>
    <x v="3"/>
    <x v="5"/>
    <n v="124190"/>
    <s v="US"/>
    <n v="100"/>
    <s v="US"/>
    <s v="North America"/>
    <s v="Medium"/>
  </r>
  <r>
    <x v="2"/>
    <s v="Expert Level"/>
    <s v="EX"/>
    <s v="Full Time"/>
    <x v="3"/>
    <x v="5"/>
    <n v="130000"/>
    <s v="US"/>
    <n v="100"/>
    <s v="US"/>
    <s v="North America"/>
    <s v="Medium"/>
  </r>
  <r>
    <x v="2"/>
    <s v="Expert Level"/>
    <s v="EX"/>
    <s v="Full Time"/>
    <x v="3"/>
    <x v="5"/>
    <n v="110000"/>
    <s v="US"/>
    <n v="100"/>
    <s v="US"/>
    <s v="North America"/>
    <s v="Medium"/>
  </r>
  <r>
    <x v="2"/>
    <s v="Senior Level"/>
    <s v="SE"/>
    <s v="Full Time"/>
    <x v="3"/>
    <x v="5"/>
    <n v="170000"/>
    <s v="US"/>
    <n v="100"/>
    <s v="US"/>
    <s v="North America"/>
    <s v="Medium"/>
  </r>
  <r>
    <x v="2"/>
    <s v="Mid level"/>
    <s v="MI"/>
    <s v="Full Time"/>
    <x v="3"/>
    <x v="5"/>
    <n v="115500"/>
    <s v="US"/>
    <n v="100"/>
    <s v="US"/>
    <s v="North America"/>
    <s v="Medium"/>
  </r>
  <r>
    <x v="2"/>
    <s v="Senior Level"/>
    <s v="SE"/>
    <s v="Full Time"/>
    <x v="3"/>
    <x v="5"/>
    <n v="112900"/>
    <s v="US"/>
    <n v="100"/>
    <s v="US"/>
    <s v="North America"/>
    <s v="Medium"/>
  </r>
  <r>
    <x v="2"/>
    <s v="Senior Level"/>
    <s v="SE"/>
    <s v="Full Time"/>
    <x v="3"/>
    <x v="5"/>
    <n v="90320"/>
    <s v="US"/>
    <n v="100"/>
    <s v="US"/>
    <s v="North America"/>
    <s v="Medium"/>
  </r>
  <r>
    <x v="2"/>
    <s v="Senior Level"/>
    <s v="SE"/>
    <s v="Full Time"/>
    <x v="3"/>
    <x v="5"/>
    <n v="112900"/>
    <s v="US"/>
    <n v="100"/>
    <s v="US"/>
    <s v="North America"/>
    <s v="Medium"/>
  </r>
  <r>
    <x v="2"/>
    <s v="Senior Level"/>
    <s v="SE"/>
    <s v="Full Time"/>
    <x v="3"/>
    <x v="5"/>
    <n v="90320"/>
    <s v="US"/>
    <n v="100"/>
    <s v="US"/>
    <s v="North America"/>
    <s v="Medium"/>
  </r>
  <r>
    <x v="2"/>
    <s v="Senior Level"/>
    <s v="SE"/>
    <s v="Full Time"/>
    <x v="2"/>
    <x v="10"/>
    <n v="165400"/>
    <s v="US"/>
    <n v="100"/>
    <s v="US"/>
    <s v="North America"/>
    <s v="Medium"/>
  </r>
  <r>
    <x v="2"/>
    <s v="Senior Level"/>
    <s v="SE"/>
    <s v="Full Time"/>
    <x v="2"/>
    <x v="10"/>
    <n v="132320"/>
    <s v="US"/>
    <n v="100"/>
    <s v="US"/>
    <s v="North America"/>
    <s v="Medium"/>
  </r>
  <r>
    <x v="2"/>
    <s v="Mid level"/>
    <s v="MI"/>
    <s v="Full Time"/>
    <x v="3"/>
    <x v="5"/>
    <n v="167000"/>
    <s v="US"/>
    <n v="100"/>
    <s v="US"/>
    <s v="North America"/>
    <s v="Medium"/>
  </r>
  <r>
    <x v="2"/>
    <s v="Senior Level"/>
    <s v="SE"/>
    <s v="Full Time"/>
    <x v="2"/>
    <x v="10"/>
    <n v="243900"/>
    <s v="US"/>
    <n v="100"/>
    <s v="US"/>
    <s v="North America"/>
    <s v="Medium"/>
  </r>
  <r>
    <x v="2"/>
    <s v="Senior Level"/>
    <s v="SE"/>
    <s v="Full Time"/>
    <x v="3"/>
    <x v="5"/>
    <n v="136600"/>
    <s v="US"/>
    <n v="100"/>
    <s v="US"/>
    <s v="North America"/>
    <s v="Medium"/>
  </r>
  <r>
    <x v="2"/>
    <s v="Senior Level"/>
    <s v="SE"/>
    <s v="Full Time"/>
    <x v="3"/>
    <x v="5"/>
    <n v="109280"/>
    <s v="US"/>
    <n v="100"/>
    <s v="US"/>
    <s v="North America"/>
    <s v="Medium"/>
  </r>
  <r>
    <x v="2"/>
    <s v="Senior Level"/>
    <s v="SE"/>
    <s v="Full Time"/>
    <x v="2"/>
    <x v="10"/>
    <n v="128875"/>
    <s v="US"/>
    <n v="100"/>
    <s v="US"/>
    <s v="North America"/>
    <s v="Medium"/>
  </r>
  <r>
    <x v="2"/>
    <s v="Senior Level"/>
    <s v="SE"/>
    <s v="Full Time"/>
    <x v="2"/>
    <x v="10"/>
    <n v="93700"/>
    <s v="US"/>
    <n v="100"/>
    <s v="US"/>
    <s v="North America"/>
    <s v="Medium"/>
  </r>
  <r>
    <x v="2"/>
    <s v="Expert Level"/>
    <s v="EX"/>
    <s v="Full Time"/>
    <x v="5"/>
    <x v="37"/>
    <n v="224000"/>
    <s v="US"/>
    <n v="100"/>
    <s v="US"/>
    <s v="North America"/>
    <s v="Medium"/>
  </r>
  <r>
    <x v="2"/>
    <s v="Expert Level"/>
    <s v="EX"/>
    <s v="Full Time"/>
    <x v="5"/>
    <x v="37"/>
    <n v="167875"/>
    <s v="US"/>
    <n v="100"/>
    <s v="US"/>
    <s v="North America"/>
    <s v="Medium"/>
  </r>
  <r>
    <x v="2"/>
    <s v="Expert Level"/>
    <s v="EX"/>
    <s v="Full Time"/>
    <x v="2"/>
    <x v="44"/>
    <n v="175000"/>
    <s v="US"/>
    <n v="100"/>
    <s v="US"/>
    <s v="North America"/>
    <s v="Medium"/>
  </r>
  <r>
    <x v="2"/>
    <s v="Senior Level"/>
    <s v="SE"/>
    <s v="Full Time"/>
    <x v="2"/>
    <x v="10"/>
    <n v="156600"/>
    <s v="US"/>
    <n v="100"/>
    <s v="US"/>
    <s v="North America"/>
    <s v="Medium"/>
  </r>
  <r>
    <x v="2"/>
    <s v="Senior Level"/>
    <s v="SE"/>
    <s v="Full Time"/>
    <x v="2"/>
    <x v="10"/>
    <n v="108800"/>
    <s v="US"/>
    <n v="0"/>
    <s v="US"/>
    <s v="North America"/>
    <s v="Medium"/>
  </r>
  <r>
    <x v="2"/>
    <s v="Senior Level"/>
    <s v="SE"/>
    <s v="Full Time"/>
    <x v="0"/>
    <x v="0"/>
    <n v="95550"/>
    <s v="US"/>
    <n v="0"/>
    <s v="US"/>
    <s v="North America"/>
    <s v="Medium"/>
  </r>
  <r>
    <x v="2"/>
    <s v="Senior Level"/>
    <s v="SE"/>
    <s v="Full Time"/>
    <x v="2"/>
    <x v="10"/>
    <n v="113000"/>
    <s v="US"/>
    <n v="0"/>
    <s v="US"/>
    <s v="North America"/>
    <s v="Large"/>
  </r>
  <r>
    <x v="2"/>
    <s v="Senior Level"/>
    <s v="SE"/>
    <s v="Full Time"/>
    <x v="3"/>
    <x v="5"/>
    <n v="135000"/>
    <s v="US"/>
    <n v="100"/>
    <s v="US"/>
    <s v="North America"/>
    <s v="Medium"/>
  </r>
  <r>
    <x v="2"/>
    <s v="Senior Level"/>
    <s v="SE"/>
    <s v="Full Time"/>
    <x v="5"/>
    <x v="22"/>
    <n v="161342"/>
    <s v="US"/>
    <n v="100"/>
    <s v="US"/>
    <s v="North America"/>
    <s v="Medium"/>
  </r>
  <r>
    <x v="2"/>
    <s v="Senior Level"/>
    <s v="SE"/>
    <s v="Full Time"/>
    <x v="5"/>
    <x v="22"/>
    <n v="137141"/>
    <s v="US"/>
    <n v="100"/>
    <s v="US"/>
    <s v="North America"/>
    <s v="Medium"/>
  </r>
  <r>
    <x v="2"/>
    <s v="Senior Level"/>
    <s v="SE"/>
    <s v="Full Time"/>
    <x v="0"/>
    <x v="0"/>
    <n v="167000"/>
    <s v="US"/>
    <n v="100"/>
    <s v="US"/>
    <s v="North America"/>
    <s v="Medium"/>
  </r>
  <r>
    <x v="2"/>
    <s v="Senior Level"/>
    <s v="SE"/>
    <s v="Full Time"/>
    <x v="0"/>
    <x v="0"/>
    <n v="123000"/>
    <s v="US"/>
    <n v="100"/>
    <s v="US"/>
    <s v="North America"/>
    <s v="Medium"/>
  </r>
  <r>
    <x v="2"/>
    <s v="Senior Level"/>
    <s v="SE"/>
    <s v="Full Time"/>
    <x v="2"/>
    <x v="10"/>
    <n v="78526"/>
    <s v="GB"/>
    <n v="0"/>
    <s v="GB"/>
    <s v="Europe"/>
    <s v="Medium"/>
  </r>
  <r>
    <x v="2"/>
    <s v="Senior Level"/>
    <s v="SE"/>
    <s v="Full Time"/>
    <x v="2"/>
    <x v="10"/>
    <n v="65438"/>
    <s v="GB"/>
    <n v="0"/>
    <s v="GB"/>
    <s v="Europe"/>
    <s v="Medium"/>
  </r>
  <r>
    <x v="2"/>
    <s v="Senior Level"/>
    <s v="SE"/>
    <s v="Full Time"/>
    <x v="0"/>
    <x v="0"/>
    <n v="150000"/>
    <s v="US"/>
    <n v="0"/>
    <s v="US"/>
    <s v="North America"/>
    <s v="Medium"/>
  </r>
  <r>
    <x v="2"/>
    <s v="Senior Level"/>
    <s v="SE"/>
    <s v="Full Time"/>
    <x v="0"/>
    <x v="0"/>
    <n v="211500"/>
    <s v="US"/>
    <n v="100"/>
    <s v="US"/>
    <s v="North America"/>
    <s v="Medium"/>
  </r>
  <r>
    <x v="2"/>
    <s v="Senior Level"/>
    <s v="SE"/>
    <s v="Full Time"/>
    <x v="2"/>
    <x v="39"/>
    <n v="192400"/>
    <s v="CA"/>
    <n v="100"/>
    <s v="CA"/>
    <s v="North America"/>
    <s v="Medium"/>
  </r>
  <r>
    <x v="2"/>
    <s v="Senior Level"/>
    <s v="SE"/>
    <s v="Full Time"/>
    <x v="2"/>
    <x v="39"/>
    <n v="90700"/>
    <s v="CA"/>
    <n v="100"/>
    <s v="CA"/>
    <s v="North America"/>
    <s v="Medium"/>
  </r>
  <r>
    <x v="2"/>
    <s v="Senior Level"/>
    <s v="SE"/>
    <s v="Full Time"/>
    <x v="3"/>
    <x v="5"/>
    <n v="130000"/>
    <s v="CA"/>
    <n v="100"/>
    <s v="CA"/>
    <s v="North America"/>
    <s v="Medium"/>
  </r>
  <r>
    <x v="2"/>
    <s v="Senior Level"/>
    <s v="SE"/>
    <s v="Full Time"/>
    <x v="3"/>
    <x v="5"/>
    <n v="61300"/>
    <s v="CA"/>
    <n v="100"/>
    <s v="CA"/>
    <s v="North America"/>
    <s v="Medium"/>
  </r>
  <r>
    <x v="2"/>
    <s v="Senior Level"/>
    <s v="SE"/>
    <s v="Full Time"/>
    <x v="3"/>
    <x v="5"/>
    <n v="130000"/>
    <s v="CA"/>
    <n v="100"/>
    <s v="CA"/>
    <s v="North America"/>
    <s v="Medium"/>
  </r>
  <r>
    <x v="2"/>
    <s v="Senior Level"/>
    <s v="SE"/>
    <s v="Full Time"/>
    <x v="3"/>
    <x v="5"/>
    <n v="61300"/>
    <s v="CA"/>
    <n v="100"/>
    <s v="CA"/>
    <s v="North America"/>
    <s v="Medium"/>
  </r>
  <r>
    <x v="2"/>
    <s v="Senior Level"/>
    <s v="SE"/>
    <s v="Full Time"/>
    <x v="2"/>
    <x v="10"/>
    <n v="160000"/>
    <s v="US"/>
    <n v="0"/>
    <s v="US"/>
    <s v="North America"/>
    <s v="Large"/>
  </r>
  <r>
    <x v="2"/>
    <s v="Senior Level"/>
    <s v="SE"/>
    <s v="Full Time"/>
    <x v="0"/>
    <x v="0"/>
    <n v="138600"/>
    <s v="US"/>
    <n v="100"/>
    <s v="US"/>
    <s v="North America"/>
    <s v="Medium"/>
  </r>
  <r>
    <x v="2"/>
    <s v="Senior Level"/>
    <s v="SE"/>
    <s v="Full Time"/>
    <x v="2"/>
    <x v="10"/>
    <n v="136000"/>
    <s v="US"/>
    <n v="0"/>
    <s v="US"/>
    <s v="North America"/>
    <s v="Medium"/>
  </r>
  <r>
    <x v="2"/>
    <s v="Mid level"/>
    <s v="MI"/>
    <s v="Full Time"/>
    <x v="3"/>
    <x v="5"/>
    <n v="58000"/>
    <s v="US"/>
    <n v="0"/>
    <s v="US"/>
    <s v="North America"/>
    <s v="Small"/>
  </r>
  <r>
    <x v="2"/>
    <s v="Expert Level"/>
    <s v="EX"/>
    <s v="Full Time"/>
    <x v="2"/>
    <x v="44"/>
    <n v="135000"/>
    <s v="US"/>
    <n v="100"/>
    <s v="US"/>
    <s v="North America"/>
    <s v="Medium"/>
  </r>
  <r>
    <x v="2"/>
    <s v="Senior Level"/>
    <s v="SE"/>
    <s v="Full Time"/>
    <x v="0"/>
    <x v="0"/>
    <n v="170000"/>
    <s v="US"/>
    <n v="100"/>
    <s v="US"/>
    <s v="North America"/>
    <s v="Medium"/>
  </r>
  <r>
    <x v="2"/>
    <s v="Senior Level"/>
    <s v="SE"/>
    <s v="Full Time"/>
    <x v="0"/>
    <x v="0"/>
    <n v="123000"/>
    <s v="US"/>
    <n v="100"/>
    <s v="US"/>
    <s v="North America"/>
    <s v="Medium"/>
  </r>
  <r>
    <x v="2"/>
    <s v="Senior Level"/>
    <s v="SE"/>
    <s v="Full Time"/>
    <x v="4"/>
    <x v="4"/>
    <n v="189650"/>
    <s v="US"/>
    <n v="0"/>
    <s v="US"/>
    <s v="North America"/>
    <s v="Medium"/>
  </r>
  <r>
    <x v="2"/>
    <s v="Senior Level"/>
    <s v="SE"/>
    <s v="Full Time"/>
    <x v="4"/>
    <x v="4"/>
    <n v="164996"/>
    <s v="US"/>
    <n v="0"/>
    <s v="US"/>
    <s v="North America"/>
    <s v="Medium"/>
  </r>
  <r>
    <x v="2"/>
    <s v="Mid level"/>
    <s v="MI"/>
    <s v="Full Time"/>
    <x v="2"/>
    <x v="45"/>
    <n v="54957"/>
    <s v="GR"/>
    <n v="0"/>
    <s v="GR"/>
    <s v="Europe"/>
    <s v="Medium"/>
  </r>
  <r>
    <x v="2"/>
    <s v="Mid level"/>
    <s v="MI"/>
    <s v="Full Time"/>
    <x v="2"/>
    <x v="45"/>
    <n v="54957"/>
    <s v="GR"/>
    <n v="0"/>
    <s v="GR"/>
    <s v="Europe"/>
    <s v="Medium"/>
  </r>
  <r>
    <x v="2"/>
    <s v="Expert Level"/>
    <s v="EX"/>
    <s v="Full Time"/>
    <x v="5"/>
    <x v="8"/>
    <n v="118187"/>
    <s v="CA"/>
    <n v="100"/>
    <s v="CA"/>
    <s v="North America"/>
    <s v="Small"/>
  </r>
  <r>
    <x v="2"/>
    <s v="Senior Level"/>
    <s v="SE"/>
    <s v="Full Time"/>
    <x v="3"/>
    <x v="5"/>
    <n v="132000"/>
    <s v="US"/>
    <n v="0"/>
    <s v="US"/>
    <s v="North America"/>
    <s v="Medium"/>
  </r>
  <r>
    <x v="2"/>
    <s v="Senior Level"/>
    <s v="SE"/>
    <s v="Full Time"/>
    <x v="2"/>
    <x v="10"/>
    <n v="165400"/>
    <s v="US"/>
    <n v="100"/>
    <s v="US"/>
    <s v="North America"/>
    <s v="Medium"/>
  </r>
  <r>
    <x v="2"/>
    <s v="Senior Level"/>
    <s v="SE"/>
    <s v="Full Time"/>
    <x v="2"/>
    <x v="39"/>
    <n v="208775"/>
    <s v="US"/>
    <n v="100"/>
    <s v="US"/>
    <s v="North America"/>
    <s v="Medium"/>
  </r>
  <r>
    <x v="2"/>
    <s v="Senior Level"/>
    <s v="SE"/>
    <s v="Full Time"/>
    <x v="2"/>
    <x v="39"/>
    <n v="147800"/>
    <s v="US"/>
    <n v="100"/>
    <s v="US"/>
    <s v="North America"/>
    <s v="Medium"/>
  </r>
  <r>
    <x v="2"/>
    <s v="Senior Level"/>
    <s v="SE"/>
    <s v="Full Time"/>
    <x v="2"/>
    <x v="10"/>
    <n v="136994"/>
    <s v="US"/>
    <n v="100"/>
    <s v="US"/>
    <s v="North America"/>
    <s v="Medium"/>
  </r>
  <r>
    <x v="2"/>
    <s v="Senior Level"/>
    <s v="SE"/>
    <s v="Full Time"/>
    <x v="2"/>
    <x v="10"/>
    <n v="101570"/>
    <s v="US"/>
    <n v="100"/>
    <s v="US"/>
    <s v="North America"/>
    <s v="Medium"/>
  </r>
  <r>
    <x v="2"/>
    <s v="Senior Level"/>
    <s v="SE"/>
    <s v="Full Time"/>
    <x v="3"/>
    <x v="5"/>
    <n v="128875"/>
    <s v="US"/>
    <n v="100"/>
    <s v="US"/>
    <s v="North America"/>
    <s v="Medium"/>
  </r>
  <r>
    <x v="2"/>
    <s v="Senior Level"/>
    <s v="SE"/>
    <s v="Full Time"/>
    <x v="3"/>
    <x v="5"/>
    <n v="93700"/>
    <s v="US"/>
    <n v="100"/>
    <s v="US"/>
    <s v="North America"/>
    <s v="Medium"/>
  </r>
  <r>
    <x v="2"/>
    <s v="Expert Level"/>
    <s v="EX"/>
    <s v="Full Time"/>
    <x v="5"/>
    <x v="46"/>
    <n v="79039"/>
    <s v="IN"/>
    <n v="50"/>
    <s v="IN"/>
    <s v="Asia"/>
    <s v="Large"/>
  </r>
  <r>
    <x v="2"/>
    <s v="Senior Level"/>
    <s v="SE"/>
    <s v="Full Time"/>
    <x v="2"/>
    <x v="10"/>
    <n v="132320"/>
    <s v="US"/>
    <n v="100"/>
    <s v="US"/>
    <s v="North America"/>
    <s v="Medium"/>
  </r>
  <r>
    <x v="2"/>
    <s v="Entry Level"/>
    <s v="EN"/>
    <s v="Full Time"/>
    <x v="4"/>
    <x v="4"/>
    <n v="37300"/>
    <s v="GB"/>
    <n v="100"/>
    <s v="GB"/>
    <s v="Europe"/>
    <s v="Large"/>
  </r>
  <r>
    <x v="2"/>
    <s v="Senior Level"/>
    <s v="SE"/>
    <s v="Full Time"/>
    <x v="3"/>
    <x v="5"/>
    <n v="164000"/>
    <s v="US"/>
    <n v="0"/>
    <s v="US"/>
    <s v="North America"/>
    <s v="Medium"/>
  </r>
  <r>
    <x v="2"/>
    <s v="Senior Level"/>
    <s v="SE"/>
    <s v="Full Time"/>
    <x v="2"/>
    <x v="10"/>
    <n v="155000"/>
    <s v="US"/>
    <n v="100"/>
    <s v="US"/>
    <s v="North America"/>
    <s v="Medium"/>
  </r>
  <r>
    <x v="2"/>
    <s v="Mid level"/>
    <s v="MI"/>
    <s v="Full Time"/>
    <x v="4"/>
    <x v="4"/>
    <n v="124333"/>
    <s v="GB"/>
    <n v="0"/>
    <s v="GB"/>
    <s v="Europe"/>
    <s v="Medium"/>
  </r>
  <r>
    <x v="2"/>
    <s v="Mid level"/>
    <s v="MI"/>
    <s v="Full Time"/>
    <x v="4"/>
    <x v="4"/>
    <n v="98158"/>
    <s v="GB"/>
    <n v="0"/>
    <s v="GB"/>
    <s v="Europe"/>
    <s v="Medium"/>
  </r>
  <r>
    <x v="2"/>
    <s v="Mid level"/>
    <s v="MI"/>
    <s v="Full Time"/>
    <x v="0"/>
    <x v="19"/>
    <n v="120000"/>
    <s v="US"/>
    <n v="0"/>
    <s v="US"/>
    <s v="North America"/>
    <s v="Medium"/>
  </r>
  <r>
    <x v="2"/>
    <s v="Senior Level"/>
    <s v="SE"/>
    <s v="Full Time"/>
    <x v="3"/>
    <x v="5"/>
    <n v="112900"/>
    <s v="US"/>
    <n v="100"/>
    <s v="US"/>
    <s v="North America"/>
    <s v="Medium"/>
  </r>
  <r>
    <x v="2"/>
    <s v="Senior Level"/>
    <s v="SE"/>
    <s v="Full Time"/>
    <x v="3"/>
    <x v="5"/>
    <n v="90320"/>
    <s v="US"/>
    <n v="100"/>
    <s v="US"/>
    <s v="North America"/>
    <s v="Medium"/>
  </r>
  <r>
    <x v="2"/>
    <s v="Senior Level"/>
    <s v="SE"/>
    <s v="Full Time"/>
    <x v="5"/>
    <x v="36"/>
    <n v="145000"/>
    <s v="US"/>
    <n v="100"/>
    <s v="US"/>
    <s v="North America"/>
    <s v="Medium"/>
  </r>
  <r>
    <x v="2"/>
    <s v="Senior Level"/>
    <s v="SE"/>
    <s v="Full Time"/>
    <x v="5"/>
    <x v="36"/>
    <n v="105400"/>
    <s v="US"/>
    <n v="100"/>
    <s v="US"/>
    <s v="North America"/>
    <s v="Medium"/>
  </r>
  <r>
    <x v="2"/>
    <s v="Mid level"/>
    <s v="MI"/>
    <s v="Full Time"/>
    <x v="4"/>
    <x v="4"/>
    <n v="87932"/>
    <s v="FR"/>
    <n v="100"/>
    <s v="DE"/>
    <s v="Europe"/>
    <s v="Medium"/>
  </r>
  <r>
    <x v="2"/>
    <s v="Mid level"/>
    <s v="MI"/>
    <s v="Full Time"/>
    <x v="2"/>
    <x v="10"/>
    <n v="117789"/>
    <s v="GB"/>
    <n v="0"/>
    <s v="GB"/>
    <s v="Europe"/>
    <s v="Medium"/>
  </r>
  <r>
    <x v="2"/>
    <s v="Senior Level"/>
    <s v="SE"/>
    <s v="Full Time"/>
    <x v="0"/>
    <x v="0"/>
    <n v="215300"/>
    <s v="US"/>
    <n v="100"/>
    <s v="US"/>
    <s v="North America"/>
    <s v="Large"/>
  </r>
  <r>
    <x v="2"/>
    <s v="Senior Level"/>
    <s v="SE"/>
    <s v="Full Time"/>
    <x v="0"/>
    <x v="0"/>
    <n v="158200"/>
    <s v="US"/>
    <n v="100"/>
    <s v="US"/>
    <s v="North America"/>
    <s v="Large"/>
  </r>
  <r>
    <x v="2"/>
    <s v="Senior Level"/>
    <s v="SE"/>
    <s v="Full Time"/>
    <x v="2"/>
    <x v="10"/>
    <n v="209100"/>
    <s v="US"/>
    <n v="100"/>
    <s v="US"/>
    <s v="North America"/>
    <s v="Large"/>
  </r>
  <r>
    <x v="2"/>
    <s v="Senior Level"/>
    <s v="SE"/>
    <s v="Full Time"/>
    <x v="2"/>
    <x v="10"/>
    <n v="154600"/>
    <s v="US"/>
    <n v="100"/>
    <s v="US"/>
    <s v="North America"/>
    <s v="Large"/>
  </r>
  <r>
    <x v="2"/>
    <s v="Senior Level"/>
    <s v="SE"/>
    <s v="Full Time"/>
    <x v="3"/>
    <x v="5"/>
    <n v="115934"/>
    <s v="US"/>
    <n v="0"/>
    <s v="US"/>
    <s v="North America"/>
    <s v="Medium"/>
  </r>
  <r>
    <x v="2"/>
    <s v="Senior Level"/>
    <s v="SE"/>
    <s v="Full Time"/>
    <x v="3"/>
    <x v="5"/>
    <n v="81666"/>
    <s v="US"/>
    <n v="0"/>
    <s v="US"/>
    <s v="North America"/>
    <s v="Medium"/>
  </r>
  <r>
    <x v="2"/>
    <s v="Senior Level"/>
    <s v="SE"/>
    <s v="Full Time"/>
    <x v="2"/>
    <x v="10"/>
    <n v="175000"/>
    <s v="US"/>
    <n v="100"/>
    <s v="US"/>
    <s v="North America"/>
    <s v="Medium"/>
  </r>
  <r>
    <x v="2"/>
    <s v="Mid level"/>
    <s v="MI"/>
    <s v="Full Time"/>
    <x v="2"/>
    <x v="10"/>
    <n v="98158"/>
    <s v="GB"/>
    <n v="0"/>
    <s v="GB"/>
    <s v="Europe"/>
    <s v="Medium"/>
  </r>
  <r>
    <x v="2"/>
    <s v="Mid level"/>
    <s v="MI"/>
    <s v="Full Time"/>
    <x v="3"/>
    <x v="5"/>
    <n v="58000"/>
    <s v="US"/>
    <n v="0"/>
    <s v="US"/>
    <s v="North America"/>
    <s v="Small"/>
  </r>
  <r>
    <x v="2"/>
    <s v="Senior Level"/>
    <s v="SE"/>
    <s v="Full Time"/>
    <x v="2"/>
    <x v="10"/>
    <n v="183600"/>
    <s v="US"/>
    <n v="100"/>
    <s v="US"/>
    <s v="North America"/>
    <s v="Large"/>
  </r>
  <r>
    <x v="2"/>
    <s v="Mid level"/>
    <s v="MI"/>
    <s v="Full Time"/>
    <x v="3"/>
    <x v="5"/>
    <n v="52351"/>
    <s v="GB"/>
    <n v="100"/>
    <s v="GB"/>
    <s v="Europe"/>
    <s v="Medium"/>
  </r>
  <r>
    <x v="2"/>
    <s v="Senior Level"/>
    <s v="SE"/>
    <s v="Full Time"/>
    <x v="0"/>
    <x v="0"/>
    <n v="180000"/>
    <s v="US"/>
    <n v="100"/>
    <s v="US"/>
    <s v="North America"/>
    <s v="Medium"/>
  </r>
  <r>
    <x v="2"/>
    <s v="Mid level"/>
    <s v="MI"/>
    <s v="Full Time"/>
    <x v="0"/>
    <x v="0"/>
    <n v="71982"/>
    <s v="GB"/>
    <n v="0"/>
    <s v="GB"/>
    <s v="Europe"/>
    <s v="Medium"/>
  </r>
  <r>
    <x v="2"/>
    <s v="Mid level"/>
    <s v="MI"/>
    <s v="Full Time"/>
    <x v="0"/>
    <x v="0"/>
    <n v="45807"/>
    <s v="GB"/>
    <n v="0"/>
    <s v="GB"/>
    <s v="Europe"/>
    <s v="Medium"/>
  </r>
  <r>
    <x v="2"/>
    <s v="Mid level"/>
    <s v="MI"/>
    <s v="Full Time"/>
    <x v="2"/>
    <x v="10"/>
    <n v="65949"/>
    <s v="GR"/>
    <n v="100"/>
    <s v="GR"/>
    <s v="Europe"/>
    <s v="Medium"/>
  </r>
  <r>
    <x v="2"/>
    <s v="Mid level"/>
    <s v="MI"/>
    <s v="Full Time"/>
    <x v="2"/>
    <x v="10"/>
    <n v="49461"/>
    <s v="GR"/>
    <n v="100"/>
    <s v="GR"/>
    <s v="Europe"/>
    <s v="Medium"/>
  </r>
  <r>
    <x v="2"/>
    <s v="Mid level"/>
    <s v="MI"/>
    <s v="Full Time"/>
    <x v="2"/>
    <x v="10"/>
    <n v="78526"/>
    <s v="GB"/>
    <n v="100"/>
    <s v="GB"/>
    <s v="Europe"/>
    <s v="Medium"/>
  </r>
  <r>
    <x v="2"/>
    <s v="Mid level"/>
    <s v="MI"/>
    <s v="Full Time"/>
    <x v="2"/>
    <x v="10"/>
    <n v="58894"/>
    <s v="GB"/>
    <n v="100"/>
    <s v="GB"/>
    <s v="Europe"/>
    <s v="Medium"/>
  </r>
  <r>
    <x v="2"/>
    <s v="Senior Level"/>
    <s v="SE"/>
    <s v="Full Time"/>
    <x v="0"/>
    <x v="0"/>
    <n v="260000"/>
    <s v="US"/>
    <n v="100"/>
    <s v="US"/>
    <s v="North America"/>
    <s v="Medium"/>
  </r>
  <r>
    <x v="2"/>
    <s v="Senior Level"/>
    <s v="SE"/>
    <s v="Full Time"/>
    <x v="2"/>
    <x v="32"/>
    <n v="60000"/>
    <s v="AR"/>
    <n v="100"/>
    <s v="MX"/>
    <s v="North America"/>
    <s v="Large"/>
  </r>
  <r>
    <x v="2"/>
    <s v="Mid level"/>
    <s v="MI"/>
    <s v="Full Time"/>
    <x v="2"/>
    <x v="10"/>
    <n v="63900"/>
    <s v="US"/>
    <n v="0"/>
    <s v="US"/>
    <s v="North America"/>
    <s v="Medium"/>
  </r>
  <r>
    <x v="2"/>
    <s v="Mid level"/>
    <s v="MI"/>
    <s v="Full Time"/>
    <x v="1"/>
    <x v="1"/>
    <n v="160000"/>
    <s v="US"/>
    <n v="100"/>
    <s v="US"/>
    <s v="North America"/>
    <s v="Large"/>
  </r>
  <r>
    <x v="2"/>
    <s v="Mid level"/>
    <s v="MI"/>
    <s v="Full Time"/>
    <x v="1"/>
    <x v="1"/>
    <n v="112300"/>
    <s v="US"/>
    <n v="100"/>
    <s v="US"/>
    <s v="North America"/>
    <s v="Large"/>
  </r>
  <r>
    <x v="2"/>
    <s v="Mid level"/>
    <s v="MI"/>
    <s v="Full Time"/>
    <x v="5"/>
    <x v="22"/>
    <n v="241000"/>
    <s v="US"/>
    <n v="100"/>
    <s v="US"/>
    <s v="North America"/>
    <s v="Medium"/>
  </r>
  <r>
    <x v="2"/>
    <s v="Mid level"/>
    <s v="MI"/>
    <s v="Full Time"/>
    <x v="5"/>
    <x v="22"/>
    <n v="159000"/>
    <s v="US"/>
    <n v="100"/>
    <s v="US"/>
    <s v="North America"/>
    <s v="Medium"/>
  </r>
  <r>
    <x v="2"/>
    <s v="Senior Level"/>
    <s v="SE"/>
    <s v="Full Time"/>
    <x v="0"/>
    <x v="0"/>
    <n v="180000"/>
    <s v="US"/>
    <n v="0"/>
    <s v="US"/>
    <s v="North America"/>
    <s v="Medium"/>
  </r>
  <r>
    <x v="2"/>
    <s v="Senior Level"/>
    <s v="SE"/>
    <s v="Full Time"/>
    <x v="0"/>
    <x v="0"/>
    <n v="80000"/>
    <s v="US"/>
    <n v="0"/>
    <s v="US"/>
    <s v="North America"/>
    <s v="Medium"/>
  </r>
  <r>
    <x v="2"/>
    <s v="Mid level"/>
    <s v="MI"/>
    <s v="Full Time"/>
    <x v="2"/>
    <x v="10"/>
    <n v="82900"/>
    <s v="US"/>
    <n v="0"/>
    <s v="US"/>
    <s v="North America"/>
    <s v="Medium"/>
  </r>
  <r>
    <x v="2"/>
    <s v="Senior Level"/>
    <s v="SE"/>
    <s v="Full Time"/>
    <x v="2"/>
    <x v="10"/>
    <n v="100800"/>
    <s v="US"/>
    <n v="100"/>
    <s v="US"/>
    <s v="North America"/>
    <s v="Large"/>
  </r>
  <r>
    <x v="2"/>
    <s v="Mid level"/>
    <s v="MI"/>
    <s v="Full Time"/>
    <x v="2"/>
    <x v="10"/>
    <n v="49461"/>
    <s v="ES"/>
    <n v="100"/>
    <s v="ES"/>
    <s v="Europe"/>
    <s v="Medium"/>
  </r>
  <r>
    <x v="2"/>
    <s v="Senior Level"/>
    <s v="SE"/>
    <s v="Full Time"/>
    <x v="0"/>
    <x v="0"/>
    <n v="140400"/>
    <s v="US"/>
    <n v="0"/>
    <s v="US"/>
    <s v="North America"/>
    <s v="Large"/>
  </r>
  <r>
    <x v="2"/>
    <s v="Mid level"/>
    <s v="MI"/>
    <s v="Full Time"/>
    <x v="3"/>
    <x v="5"/>
    <n v="39263"/>
    <s v="GB"/>
    <n v="100"/>
    <s v="GB"/>
    <s v="Europe"/>
    <s v="Medium"/>
  </r>
  <r>
    <x v="2"/>
    <s v="Mid level"/>
    <s v="MI"/>
    <s v="Full Time"/>
    <x v="3"/>
    <x v="5"/>
    <n v="43966"/>
    <s v="ES"/>
    <n v="100"/>
    <s v="ES"/>
    <s v="Europe"/>
    <s v="Medium"/>
  </r>
  <r>
    <x v="2"/>
    <s v="Mid level"/>
    <s v="MI"/>
    <s v="Full Time"/>
    <x v="3"/>
    <x v="5"/>
    <n v="32974"/>
    <s v="ES"/>
    <n v="100"/>
    <s v="ES"/>
    <s v="Europe"/>
    <s v="Medium"/>
  </r>
  <r>
    <x v="2"/>
    <s v="Mid level"/>
    <s v="MI"/>
    <s v="Full Time"/>
    <x v="2"/>
    <x v="10"/>
    <n v="87932"/>
    <s v="ES"/>
    <n v="100"/>
    <s v="ES"/>
    <s v="Europe"/>
    <s v="Medium"/>
  </r>
  <r>
    <x v="2"/>
    <s v="Mid level"/>
    <s v="MI"/>
    <s v="Full Time"/>
    <x v="2"/>
    <x v="10"/>
    <n v="76940"/>
    <s v="ES"/>
    <n v="100"/>
    <s v="ES"/>
    <s v="Europe"/>
    <s v="Medium"/>
  </r>
  <r>
    <x v="2"/>
    <s v="Mid level"/>
    <s v="MI"/>
    <s v="Full Time"/>
    <x v="2"/>
    <x v="10"/>
    <n v="104702"/>
    <s v="GB"/>
    <n v="100"/>
    <s v="GB"/>
    <s v="Europe"/>
    <s v="Medium"/>
  </r>
  <r>
    <x v="2"/>
    <s v="Mid level"/>
    <s v="MI"/>
    <s v="Full Time"/>
    <x v="2"/>
    <x v="10"/>
    <n v="91614"/>
    <s v="GB"/>
    <n v="100"/>
    <s v="GB"/>
    <s v="Europe"/>
    <s v="Medium"/>
  </r>
  <r>
    <x v="2"/>
    <s v="Mid level"/>
    <s v="MI"/>
    <s v="Full Time"/>
    <x v="2"/>
    <x v="10"/>
    <n v="65949"/>
    <s v="ES"/>
    <n v="100"/>
    <s v="ES"/>
    <s v="Europe"/>
    <s v="Medium"/>
  </r>
  <r>
    <x v="2"/>
    <s v="Mid level"/>
    <s v="MI"/>
    <s v="Full Time"/>
    <x v="2"/>
    <x v="10"/>
    <n v="87932"/>
    <s v="GR"/>
    <n v="100"/>
    <s v="GR"/>
    <s v="Europe"/>
    <s v="Medium"/>
  </r>
  <r>
    <x v="2"/>
    <s v="Senior Level"/>
    <s v="SE"/>
    <s v="Full Time"/>
    <x v="4"/>
    <x v="4"/>
    <n v="189650"/>
    <s v="US"/>
    <n v="0"/>
    <s v="US"/>
    <s v="North America"/>
    <s v="Medium"/>
  </r>
  <r>
    <x v="2"/>
    <s v="Senior Level"/>
    <s v="SE"/>
    <s v="Full Time"/>
    <x v="4"/>
    <x v="4"/>
    <n v="164996"/>
    <s v="US"/>
    <n v="0"/>
    <s v="US"/>
    <s v="North America"/>
    <s v="Medium"/>
  </r>
  <r>
    <x v="2"/>
    <s v="Mid level"/>
    <s v="MI"/>
    <s v="Full Time"/>
    <x v="3"/>
    <x v="5"/>
    <n v="43966"/>
    <s v="GR"/>
    <n v="100"/>
    <s v="GR"/>
    <s v="Europe"/>
    <s v="Medium"/>
  </r>
  <r>
    <x v="2"/>
    <s v="Mid level"/>
    <s v="MI"/>
    <s v="Full Time"/>
    <x v="3"/>
    <x v="5"/>
    <n v="32974"/>
    <s v="GR"/>
    <n v="100"/>
    <s v="GR"/>
    <s v="Europe"/>
    <s v="Medium"/>
  </r>
  <r>
    <x v="2"/>
    <s v="Mid level"/>
    <s v="MI"/>
    <s v="Full Time"/>
    <x v="2"/>
    <x v="10"/>
    <n v="98158"/>
    <s v="GB"/>
    <n v="100"/>
    <s v="GB"/>
    <s v="Europe"/>
    <s v="Medium"/>
  </r>
  <r>
    <x v="2"/>
    <s v="Mid level"/>
    <s v="MI"/>
    <s v="Full Time"/>
    <x v="2"/>
    <x v="10"/>
    <n v="78526"/>
    <s v="GB"/>
    <n v="100"/>
    <s v="GB"/>
    <s v="Europe"/>
    <s v="Medium"/>
  </r>
  <r>
    <x v="2"/>
    <s v="Senior Level"/>
    <s v="SE"/>
    <s v="Full Time"/>
    <x v="0"/>
    <x v="0"/>
    <n v="215300"/>
    <s v="US"/>
    <n v="0"/>
    <s v="US"/>
    <s v="North America"/>
    <s v="Large"/>
  </r>
  <r>
    <x v="2"/>
    <s v="Mid level"/>
    <s v="MI"/>
    <s v="Full Time"/>
    <x v="2"/>
    <x v="10"/>
    <n v="76940"/>
    <s v="GR"/>
    <n v="100"/>
    <s v="GR"/>
    <s v="Europe"/>
    <s v="Medium"/>
  </r>
  <r>
    <x v="2"/>
    <s v="Senior Level"/>
    <s v="SE"/>
    <s v="Full Time"/>
    <x v="2"/>
    <x v="10"/>
    <n v="209100"/>
    <s v="US"/>
    <n v="100"/>
    <s v="US"/>
    <s v="North America"/>
    <s v="Large"/>
  </r>
  <r>
    <x v="2"/>
    <s v="Senior Level"/>
    <s v="SE"/>
    <s v="Full Time"/>
    <x v="2"/>
    <x v="10"/>
    <n v="154600"/>
    <s v="US"/>
    <n v="100"/>
    <s v="US"/>
    <s v="North America"/>
    <s v="Large"/>
  </r>
  <r>
    <x v="2"/>
    <s v="Senior Level"/>
    <s v="SE"/>
    <s v="Full Time"/>
    <x v="2"/>
    <x v="10"/>
    <n v="180000"/>
    <s v="US"/>
    <n v="100"/>
    <s v="US"/>
    <s v="North America"/>
    <s v="Medium"/>
  </r>
  <r>
    <x v="2"/>
    <s v="Entry Level"/>
    <s v="EN"/>
    <s v="Full Time"/>
    <x v="4"/>
    <x v="18"/>
    <n v="21983"/>
    <s v="PT"/>
    <n v="100"/>
    <s v="PT"/>
    <s v="Europe"/>
    <s v="Large"/>
  </r>
  <r>
    <x v="2"/>
    <s v="Senior Level"/>
    <s v="SE"/>
    <s v="Full Time"/>
    <x v="2"/>
    <x v="10"/>
    <n v="80000"/>
    <s v="US"/>
    <n v="100"/>
    <s v="US"/>
    <s v="North America"/>
    <s v="Medium"/>
  </r>
  <r>
    <x v="2"/>
    <s v="Mid level"/>
    <s v="MI"/>
    <s v="Full Time"/>
    <x v="4"/>
    <x v="34"/>
    <n v="78791"/>
    <s v="CA"/>
    <n v="100"/>
    <s v="CA"/>
    <s v="North America"/>
    <s v="Medium"/>
  </r>
  <r>
    <x v="2"/>
    <s v="Expert Level"/>
    <s v="EX"/>
    <s v="Full Time"/>
    <x v="5"/>
    <x v="13"/>
    <n v="196979"/>
    <s v="CA"/>
    <n v="50"/>
    <s v="CA"/>
    <s v="North America"/>
    <s v="Large"/>
  </r>
  <r>
    <x v="2"/>
    <s v="Mid level"/>
    <s v="MI"/>
    <s v="Full Time"/>
    <x v="4"/>
    <x v="4"/>
    <n v="120000"/>
    <s v="US"/>
    <n v="100"/>
    <s v="US"/>
    <s v="North America"/>
    <s v="Small"/>
  </r>
  <r>
    <x v="2"/>
    <s v="Entry Level"/>
    <s v="EN"/>
    <s v="Full Time"/>
    <x v="2"/>
    <x v="20"/>
    <n v="125000"/>
    <s v="US"/>
    <n v="0"/>
    <s v="US"/>
    <s v="North America"/>
    <s v="Medium"/>
  </r>
  <r>
    <x v="2"/>
    <s v="Mid level"/>
    <s v="MI"/>
    <s v="Full Time"/>
    <x v="4"/>
    <x v="47"/>
    <n v="37236"/>
    <s v="US"/>
    <n v="50"/>
    <s v="US"/>
    <s v="North America"/>
    <s v="Large"/>
  </r>
  <r>
    <x v="2"/>
    <s v="Senior Level"/>
    <s v="SE"/>
    <s v="Full Time"/>
    <x v="2"/>
    <x v="10"/>
    <n v="105000"/>
    <s v="US"/>
    <n v="100"/>
    <s v="US"/>
    <s v="North America"/>
    <s v="Medium"/>
  </r>
  <r>
    <x v="2"/>
    <s v="Senior Level"/>
    <s v="SE"/>
    <s v="Full Time"/>
    <x v="5"/>
    <x v="48"/>
    <n v="87932"/>
    <s v="DE"/>
    <n v="0"/>
    <s v="DE"/>
    <s v="Europe"/>
    <s v="Medium"/>
  </r>
  <r>
    <x v="2"/>
    <s v="Mid level"/>
    <s v="MI"/>
    <s v="Full Time"/>
    <x v="3"/>
    <x v="7"/>
    <n v="18442"/>
    <s v="IN"/>
    <n v="100"/>
    <s v="IN"/>
    <s v="Asia"/>
    <s v="Medium"/>
  </r>
  <r>
    <x v="2"/>
    <s v="Mid level"/>
    <s v="MI"/>
    <s v="Full Time"/>
    <x v="0"/>
    <x v="0"/>
    <n v="31615"/>
    <s v="IN"/>
    <n v="100"/>
    <s v="IN"/>
    <s v="Asia"/>
    <s v="Large"/>
  </r>
  <r>
    <x v="2"/>
    <s v="Mid level"/>
    <s v="MI"/>
    <s v="Full Time"/>
    <x v="4"/>
    <x v="17"/>
    <n v="58255"/>
    <s v="PT"/>
    <n v="50"/>
    <s v="PT"/>
    <s v="Europe"/>
    <s v="Large"/>
  </r>
  <r>
    <x v="2"/>
    <s v="Entry Level"/>
    <s v="EN"/>
    <s v="Full Time"/>
    <x v="3"/>
    <x v="29"/>
    <n v="100000"/>
    <s v="US"/>
    <n v="50"/>
    <s v="US"/>
    <s v="North America"/>
    <s v="Large"/>
  </r>
  <r>
    <x v="2"/>
    <s v="Mid level"/>
    <s v="MI"/>
    <s v="Part Time"/>
    <x v="2"/>
    <x v="10"/>
    <n v="54957"/>
    <s v="DE"/>
    <n v="50"/>
    <s v="DE"/>
    <s v="Europe"/>
    <s v="Large"/>
  </r>
  <r>
    <x v="2"/>
    <s v="Entry Level"/>
    <s v="EN"/>
    <s v="Full Time"/>
    <x v="0"/>
    <x v="0"/>
    <n v="18442"/>
    <s v="IN"/>
    <n v="100"/>
    <s v="IN"/>
    <s v="Asia"/>
    <s v="Medium"/>
  </r>
  <r>
    <x v="2"/>
    <s v="Senior Level"/>
    <s v="SE"/>
    <s v="Full Time"/>
    <x v="1"/>
    <x v="21"/>
    <n v="162674"/>
    <s v="DE"/>
    <n v="100"/>
    <s v="DE"/>
    <s v="Europe"/>
    <s v="Medium"/>
  </r>
  <r>
    <x v="2"/>
    <s v="Entry Level"/>
    <s v="EN"/>
    <s v="Full Time"/>
    <x v="2"/>
    <x v="10"/>
    <n v="120000"/>
    <s v="US"/>
    <n v="100"/>
    <s v="US"/>
    <s v="North America"/>
    <s v="Medium"/>
  </r>
  <r>
    <x v="2"/>
    <s v="Senior Level"/>
    <s v="SE"/>
    <s v="Full Time"/>
    <x v="1"/>
    <x v="14"/>
    <n v="144000"/>
    <s v="US"/>
    <n v="50"/>
    <s v="US"/>
    <s v="North America"/>
    <s v="Large"/>
  </r>
  <r>
    <x v="2"/>
    <s v="Senior Level"/>
    <s v="SE"/>
    <s v="Full Time"/>
    <x v="0"/>
    <x v="0"/>
    <n v="104890"/>
    <s v="US"/>
    <n v="100"/>
    <s v="US"/>
    <s v="North America"/>
    <s v="Medium"/>
  </r>
  <r>
    <x v="2"/>
    <s v="Senior Level"/>
    <s v="SE"/>
    <s v="Full Time"/>
    <x v="2"/>
    <x v="10"/>
    <n v="100000"/>
    <s v="US"/>
    <n v="100"/>
    <s v="US"/>
    <s v="North America"/>
    <s v="Medium"/>
  </r>
  <r>
    <x v="2"/>
    <s v="Senior Level"/>
    <s v="SE"/>
    <s v="Full Time"/>
    <x v="0"/>
    <x v="0"/>
    <n v="140000"/>
    <s v="US"/>
    <n v="100"/>
    <s v="US"/>
    <s v="North America"/>
    <s v="Medium"/>
  </r>
  <r>
    <x v="2"/>
    <s v="Mid level"/>
    <s v="MI"/>
    <s v="Full Time"/>
    <x v="3"/>
    <x v="5"/>
    <n v="135000"/>
    <s v="US"/>
    <n v="100"/>
    <s v="US"/>
    <s v="North America"/>
    <s v="Medium"/>
  </r>
  <r>
    <x v="2"/>
    <s v="Mid level"/>
    <s v="MI"/>
    <s v="Full Time"/>
    <x v="3"/>
    <x v="5"/>
    <n v="50000"/>
    <s v="US"/>
    <n v="100"/>
    <s v="US"/>
    <s v="North America"/>
    <s v="Medium"/>
  </r>
  <r>
    <x v="2"/>
    <s v="Senior Level"/>
    <s v="SE"/>
    <s v="Full Time"/>
    <x v="0"/>
    <x v="0"/>
    <n v="220000"/>
    <s v="US"/>
    <n v="100"/>
    <s v="US"/>
    <s v="North America"/>
    <s v="Medium"/>
  </r>
  <r>
    <x v="2"/>
    <s v="Senior Level"/>
    <s v="SE"/>
    <s v="Full Time"/>
    <x v="0"/>
    <x v="0"/>
    <n v="140000"/>
    <s v="US"/>
    <n v="100"/>
    <s v="US"/>
    <s v="North America"/>
    <s v="Medium"/>
  </r>
  <r>
    <x v="2"/>
    <s v="Mid level"/>
    <s v="MI"/>
    <s v="Full Time"/>
    <x v="0"/>
    <x v="0"/>
    <n v="183228"/>
    <s v="GB"/>
    <n v="0"/>
    <s v="GB"/>
    <s v="Europe"/>
    <s v="Medium"/>
  </r>
  <r>
    <x v="2"/>
    <s v="Mid level"/>
    <s v="MI"/>
    <s v="Full Time"/>
    <x v="0"/>
    <x v="0"/>
    <n v="91614"/>
    <s v="GB"/>
    <n v="0"/>
    <s v="GB"/>
    <s v="Europe"/>
    <s v="Medium"/>
  </r>
  <r>
    <x v="2"/>
    <s v="Senior Level"/>
    <s v="SE"/>
    <s v="Full Time"/>
    <x v="0"/>
    <x v="0"/>
    <n v="185100"/>
    <s v="US"/>
    <n v="100"/>
    <s v="US"/>
    <s v="North America"/>
    <s v="Medium"/>
  </r>
  <r>
    <x v="2"/>
    <s v="Senior Level"/>
    <s v="SE"/>
    <s v="Full Time"/>
    <x v="4"/>
    <x v="4"/>
    <n v="220000"/>
    <s v="US"/>
    <n v="100"/>
    <s v="US"/>
    <s v="North America"/>
    <s v="Medium"/>
  </r>
  <r>
    <x v="2"/>
    <s v="Mid level"/>
    <s v="MI"/>
    <s v="Full Time"/>
    <x v="0"/>
    <x v="0"/>
    <n v="200000"/>
    <s v="US"/>
    <n v="100"/>
    <s v="US"/>
    <s v="North America"/>
    <s v="Medium"/>
  </r>
  <r>
    <x v="2"/>
    <s v="Mid level"/>
    <s v="MI"/>
    <s v="Full Time"/>
    <x v="0"/>
    <x v="0"/>
    <n v="120000"/>
    <s v="US"/>
    <n v="100"/>
    <s v="US"/>
    <s v="North America"/>
    <s v="Medium"/>
  </r>
  <r>
    <x v="2"/>
    <s v="Senior Level"/>
    <s v="SE"/>
    <s v="Full Time"/>
    <x v="4"/>
    <x v="4"/>
    <n v="120000"/>
    <s v="AE"/>
    <n v="100"/>
    <s v="AE"/>
    <s v="Asia"/>
    <s v="Small"/>
  </r>
  <r>
    <x v="2"/>
    <s v="Senior Level"/>
    <s v="SE"/>
    <s v="Full Time"/>
    <x v="4"/>
    <x v="4"/>
    <n v="65000"/>
    <s v="AE"/>
    <n v="100"/>
    <s v="AE"/>
    <s v="Asia"/>
    <s v="Small"/>
  </r>
  <r>
    <x v="2"/>
    <s v="Expert Level"/>
    <s v="EX"/>
    <s v="Full Time"/>
    <x v="2"/>
    <x v="10"/>
    <n v="324000"/>
    <s v="US"/>
    <n v="100"/>
    <s v="US"/>
    <s v="North America"/>
    <s v="Medium"/>
  </r>
  <r>
    <x v="2"/>
    <s v="Expert Level"/>
    <s v="EX"/>
    <s v="Full Time"/>
    <x v="2"/>
    <x v="10"/>
    <n v="216000"/>
    <s v="US"/>
    <n v="100"/>
    <s v="US"/>
    <s v="North America"/>
    <s v="Medium"/>
  </r>
  <r>
    <x v="2"/>
    <s v="Senior Level"/>
    <s v="SE"/>
    <s v="Full Time"/>
    <x v="2"/>
    <x v="10"/>
    <n v="210000"/>
    <s v="US"/>
    <n v="100"/>
    <s v="US"/>
    <s v="North America"/>
    <s v="Medium"/>
  </r>
  <r>
    <x v="2"/>
    <s v="Senior Level"/>
    <s v="SE"/>
    <s v="Full Time"/>
    <x v="4"/>
    <x v="4"/>
    <n v="120000"/>
    <s v="US"/>
    <n v="100"/>
    <s v="US"/>
    <s v="North America"/>
    <s v="Medium"/>
  </r>
  <r>
    <x v="2"/>
    <s v="Senior Level"/>
    <s v="SE"/>
    <s v="Full Time"/>
    <x v="0"/>
    <x v="0"/>
    <n v="230000"/>
    <s v="US"/>
    <n v="100"/>
    <s v="US"/>
    <s v="North America"/>
    <s v="Medium"/>
  </r>
  <r>
    <x v="2"/>
    <s v="Entry Level"/>
    <s v="EN"/>
    <s v="Part Time"/>
    <x v="0"/>
    <x v="0"/>
    <n v="100000"/>
    <s v="DZ"/>
    <n v="50"/>
    <s v="DZ"/>
    <s v="Africa"/>
    <s v="Medium"/>
  </r>
  <r>
    <x v="2"/>
    <s v="Mid level"/>
    <s v="MI"/>
    <s v="Freelance"/>
    <x v="0"/>
    <x v="0"/>
    <n v="100000"/>
    <s v="CA"/>
    <n v="100"/>
    <s v="US"/>
    <s v="North America"/>
    <s v="Medium"/>
  </r>
  <r>
    <x v="2"/>
    <s v="Entry Level"/>
    <s v="EN"/>
    <s v="Contract"/>
    <x v="0"/>
    <x v="35"/>
    <n v="31875"/>
    <s v="TN"/>
    <n v="100"/>
    <s v="CZ"/>
    <s v="Europe"/>
    <s v="Medium"/>
  </r>
  <r>
    <x v="2"/>
    <s v="Senior Level"/>
    <s v="SE"/>
    <s v="Full Time"/>
    <x v="5"/>
    <x v="23"/>
    <n v="200000"/>
    <s v="MY"/>
    <n v="100"/>
    <s v="US"/>
    <s v="North America"/>
    <s v="Medium"/>
  </r>
  <r>
    <x v="2"/>
    <s v="Mid level"/>
    <s v="MI"/>
    <s v="Full Time"/>
    <x v="3"/>
    <x v="41"/>
    <n v="75000"/>
    <s v="CA"/>
    <n v="100"/>
    <s v="CA"/>
    <s v="North America"/>
    <s v="Small"/>
  </r>
  <r>
    <x v="2"/>
    <s v="Mid level"/>
    <s v="MI"/>
    <s v="Full Time"/>
    <x v="0"/>
    <x v="0"/>
    <n v="35590"/>
    <s v="PL"/>
    <n v="100"/>
    <s v="PL"/>
    <s v="Europe"/>
    <s v="Large"/>
  </r>
  <r>
    <x v="2"/>
    <s v="Senior Level"/>
    <s v="SE"/>
    <s v="Full Time"/>
    <x v="4"/>
    <x v="34"/>
    <n v="78791"/>
    <s v="CA"/>
    <n v="100"/>
    <s v="CA"/>
    <s v="North America"/>
    <s v="Medium"/>
  </r>
  <r>
    <x v="2"/>
    <s v="Senior Level"/>
    <s v="SE"/>
    <s v="Full Time"/>
    <x v="0"/>
    <x v="0"/>
    <n v="100000"/>
    <s v="BR"/>
    <n v="100"/>
    <s v="US"/>
    <s v="North America"/>
    <s v="Medium"/>
  </r>
  <r>
    <x v="2"/>
    <s v="Mid level"/>
    <s v="MI"/>
    <s v="Full Time"/>
    <x v="1"/>
    <x v="1"/>
    <n v="153000"/>
    <s v="US"/>
    <n v="50"/>
    <s v="US"/>
    <s v="North America"/>
    <s v="Medium"/>
  </r>
  <r>
    <x v="2"/>
    <s v="Entry Level"/>
    <s v="EN"/>
    <s v="Full Time"/>
    <x v="2"/>
    <x v="10"/>
    <n v="58035"/>
    <s v="PK"/>
    <n v="100"/>
    <s v="DE"/>
    <s v="Europe"/>
    <s v="Medium"/>
  </r>
  <r>
    <x v="2"/>
    <s v="Senior Level"/>
    <s v="SE"/>
    <s v="Full Time"/>
    <x v="0"/>
    <x v="0"/>
    <n v="165000"/>
    <s v="US"/>
    <n v="100"/>
    <s v="US"/>
    <s v="North America"/>
    <s v="Medium"/>
  </r>
  <r>
    <x v="2"/>
    <s v="Senior Level"/>
    <s v="SE"/>
    <s v="Full Time"/>
    <x v="1"/>
    <x v="14"/>
    <n v="93427"/>
    <s v="FR"/>
    <n v="50"/>
    <s v="FR"/>
    <s v="Europe"/>
    <s v="Large"/>
  </r>
  <r>
    <x v="2"/>
    <s v="Entry Level"/>
    <s v="EN"/>
    <s v="Full Time"/>
    <x v="0"/>
    <x v="0"/>
    <n v="52396"/>
    <s v="CA"/>
    <n v="100"/>
    <s v="CA"/>
    <s v="North America"/>
    <s v="Large"/>
  </r>
  <r>
    <x v="2"/>
    <s v="Senior Level"/>
    <s v="SE"/>
    <s v="Full Time"/>
    <x v="4"/>
    <x v="4"/>
    <n v="62651"/>
    <s v="NL"/>
    <n v="100"/>
    <s v="NL"/>
    <s v="Europe"/>
    <s v="Large"/>
  </r>
  <r>
    <x v="2"/>
    <s v="Mid level"/>
    <s v="MI"/>
    <s v="Full Time"/>
    <x v="5"/>
    <x v="23"/>
    <n v="32974"/>
    <s v="EE"/>
    <n v="100"/>
    <s v="EE"/>
    <s v="Europe"/>
    <s v="Small"/>
  </r>
  <r>
    <x v="2"/>
    <s v="Entry Level"/>
    <s v="EN"/>
    <s v="Full Time"/>
    <x v="0"/>
    <x v="0"/>
    <n v="40000"/>
    <s v="JP"/>
    <n v="100"/>
    <s v="MY"/>
    <s v="Asia"/>
    <s v="Large"/>
  </r>
  <r>
    <x v="2"/>
    <s v="Mid level"/>
    <s v="MI"/>
    <s v="Full Time"/>
    <x v="4"/>
    <x v="4"/>
    <n v="87425"/>
    <s v="AU"/>
    <n v="100"/>
    <s v="AU"/>
    <s v="Oceania"/>
    <s v="Large"/>
  </r>
  <r>
    <x v="2"/>
    <s v="Senior Level"/>
    <s v="SE"/>
    <s v="Full Time"/>
    <x v="2"/>
    <x v="10"/>
    <n v="115000"/>
    <s v="US"/>
    <n v="100"/>
    <s v="US"/>
    <s v="North America"/>
    <s v="Medium"/>
  </r>
  <r>
    <x v="2"/>
    <s v="Entry Level"/>
    <s v="EN"/>
    <s v="Full Time"/>
    <x v="0"/>
    <x v="0"/>
    <n v="86703"/>
    <s v="AU"/>
    <n v="50"/>
    <s v="AU"/>
    <s v="Oceania"/>
    <s v="Medium"/>
  </r>
  <r>
    <x v="2"/>
    <s v="Mid level"/>
    <s v="MI"/>
    <s v="Full Time"/>
    <x v="0"/>
    <x v="35"/>
    <n v="75000"/>
    <s v="BO"/>
    <n v="100"/>
    <s v="US"/>
    <s v="North America"/>
    <s v="Large"/>
  </r>
  <r>
    <x v="2"/>
    <s v="Mid level"/>
    <s v="MI"/>
    <s v="Full Time"/>
    <x v="1"/>
    <x v="14"/>
    <n v="64849"/>
    <s v="AT"/>
    <n v="0"/>
    <s v="AT"/>
    <s v="Europe"/>
    <s v="Large"/>
  </r>
  <r>
    <x v="2"/>
    <s v="Entry Level"/>
    <s v="EN"/>
    <s v="Full Time"/>
    <x v="1"/>
    <x v="14"/>
    <n v="120000"/>
    <s v="US"/>
    <n v="100"/>
    <s v="US"/>
    <s v="North America"/>
    <s v="Large"/>
  </r>
  <r>
    <x v="2"/>
    <s v="Mid level"/>
    <s v="MI"/>
    <s v="Full Time"/>
    <x v="0"/>
    <x v="26"/>
    <n v="157000"/>
    <s v="US"/>
    <n v="100"/>
    <s v="US"/>
    <s v="North America"/>
    <s v="Large"/>
  </r>
  <r>
    <x v="2"/>
    <s v="Entry Level"/>
    <s v="EN"/>
    <s v="Full Time"/>
    <x v="6"/>
    <x v="30"/>
    <n v="150000"/>
    <s v="AU"/>
    <n v="100"/>
    <s v="AU"/>
    <s v="Oceania"/>
    <s v="Small"/>
  </r>
  <r>
    <x v="2"/>
    <s v="Mid level"/>
    <s v="MI"/>
    <s v="Full Time"/>
    <x v="3"/>
    <x v="7"/>
    <n v="70912"/>
    <s v="CA"/>
    <n v="50"/>
    <s v="CA"/>
    <s v="North America"/>
    <s v="Large"/>
  </r>
  <r>
    <x v="2"/>
    <s v="Entry Level"/>
    <s v="EN"/>
    <s v="Full Time"/>
    <x v="2"/>
    <x v="10"/>
    <n v="65000"/>
    <s v="US"/>
    <n v="100"/>
    <s v="US"/>
    <s v="North America"/>
    <s v="Small"/>
  </r>
  <r>
    <x v="2"/>
    <s v="Senior Level"/>
    <s v="SE"/>
    <s v="Full Time"/>
    <x v="4"/>
    <x v="4"/>
    <n v="71444"/>
    <s v="IE"/>
    <n v="100"/>
    <s v="IE"/>
    <s v="Europe"/>
    <s v="Small"/>
  </r>
  <r>
    <x v="2"/>
    <s v="Entry Level"/>
    <s v="EN"/>
    <s v="Full Time"/>
    <x v="3"/>
    <x v="25"/>
    <n v="20000"/>
    <s v="PK"/>
    <n v="0"/>
    <s v="PK"/>
    <s v="Asia"/>
    <s v="Medium"/>
  </r>
  <r>
    <x v="2"/>
    <s v="Mid level"/>
    <s v="MI"/>
    <s v="Full Time"/>
    <x v="0"/>
    <x v="0"/>
    <n v="48000"/>
    <s v="RU"/>
    <n v="100"/>
    <s v="US"/>
    <s v="North America"/>
    <s v="Small"/>
  </r>
  <r>
    <x v="2"/>
    <s v="Senior Level"/>
    <s v="SE"/>
    <s v="Full Time"/>
    <x v="5"/>
    <x v="22"/>
    <n v="152500"/>
    <s v="US"/>
    <n v="100"/>
    <s v="US"/>
    <s v="North America"/>
    <s v="Medium"/>
  </r>
  <r>
    <x v="2"/>
    <s v="Mid level"/>
    <s v="MI"/>
    <s v="Full Time"/>
    <x v="2"/>
    <x v="10"/>
    <n v="68147"/>
    <s v="FR"/>
    <n v="100"/>
    <s v="FR"/>
    <s v="Europe"/>
    <s v="Medium"/>
  </r>
  <r>
    <x v="2"/>
    <s v="Mid level"/>
    <s v="MI"/>
    <s v="Full Time"/>
    <x v="0"/>
    <x v="0"/>
    <n v="122346"/>
    <s v="CH"/>
    <n v="0"/>
    <s v="CH"/>
    <s v="Europe"/>
    <s v="Large"/>
  </r>
  <r>
    <x v="2"/>
    <s v="Senior Level"/>
    <s v="SE"/>
    <s v="Full Time"/>
    <x v="0"/>
    <x v="26"/>
    <n v="380000"/>
    <s v="US"/>
    <n v="100"/>
    <s v="US"/>
    <s v="North America"/>
    <s v="Large"/>
  </r>
  <r>
    <x v="2"/>
    <s v="Mid level"/>
    <s v="MI"/>
    <s v="Full Time"/>
    <x v="0"/>
    <x v="0"/>
    <n v="69336"/>
    <s v="CA"/>
    <n v="100"/>
    <s v="CA"/>
    <s v="North America"/>
    <s v="Medium"/>
  </r>
  <r>
    <x v="2"/>
    <s v="Entry Level"/>
    <s v="EN"/>
    <s v="Full Time"/>
    <x v="2"/>
    <x v="20"/>
    <n v="10000"/>
    <s v="PT"/>
    <n v="100"/>
    <s v="LU"/>
    <s v="Europe"/>
    <s v="Medium"/>
  </r>
  <r>
    <x v="2"/>
    <s v="Mid level"/>
    <s v="MI"/>
    <s v="Full Time"/>
    <x v="3"/>
    <x v="5"/>
    <n v="20000"/>
    <s v="GR"/>
    <n v="100"/>
    <s v="GR"/>
    <s v="Europe"/>
    <s v="Small"/>
  </r>
  <r>
    <x v="2"/>
    <s v="Senior Level"/>
    <s v="SE"/>
    <s v="Full Time"/>
    <x v="5"/>
    <x v="49"/>
    <n v="405000"/>
    <s v="US"/>
    <n v="100"/>
    <s v="US"/>
    <s v="North America"/>
    <s v="Large"/>
  </r>
  <r>
    <x v="2"/>
    <s v="Mid level"/>
    <s v="MI"/>
    <s v="Full Time"/>
    <x v="0"/>
    <x v="0"/>
    <n v="135000"/>
    <s v="US"/>
    <n v="100"/>
    <s v="US"/>
    <s v="North America"/>
    <s v="Large"/>
  </r>
  <r>
    <x v="2"/>
    <s v="Senior Level"/>
    <s v="SE"/>
    <s v="Full Time"/>
    <x v="0"/>
    <x v="26"/>
    <n v="177000"/>
    <s v="US"/>
    <n v="100"/>
    <s v="US"/>
    <s v="North America"/>
    <s v="Large"/>
  </r>
  <r>
    <x v="2"/>
    <s v="Mid level"/>
    <s v="MI"/>
    <s v="Full Time"/>
    <x v="0"/>
    <x v="0"/>
    <n v="78000"/>
    <s v="US"/>
    <n v="100"/>
    <s v="US"/>
    <s v="North America"/>
    <s v="Medium"/>
  </r>
  <r>
    <x v="2"/>
    <s v="Senior Level"/>
    <s v="SE"/>
    <s v="Full Time"/>
    <x v="3"/>
    <x v="5"/>
    <n v="135000"/>
    <s v="US"/>
    <n v="100"/>
    <s v="US"/>
    <s v="North America"/>
    <s v="Medium"/>
  </r>
  <r>
    <x v="2"/>
    <s v="Senior Level"/>
    <s v="SE"/>
    <s v="Full Time"/>
    <x v="3"/>
    <x v="5"/>
    <n v="100000"/>
    <s v="US"/>
    <n v="100"/>
    <s v="US"/>
    <s v="North America"/>
    <s v="Medium"/>
  </r>
  <r>
    <x v="2"/>
    <s v="Senior Level"/>
    <s v="SE"/>
    <s v="Full Time"/>
    <x v="3"/>
    <x v="5"/>
    <n v="90320"/>
    <s v="US"/>
    <n v="100"/>
    <s v="US"/>
    <s v="North America"/>
    <s v="Medium"/>
  </r>
  <r>
    <x v="2"/>
    <s v="Mid level"/>
    <s v="MI"/>
    <s v="Full Time"/>
    <x v="3"/>
    <x v="5"/>
    <n v="85000"/>
    <s v="CA"/>
    <n v="0"/>
    <s v="CA"/>
    <s v="North America"/>
    <s v="Medium"/>
  </r>
  <r>
    <x v="2"/>
    <s v="Mid level"/>
    <s v="MI"/>
    <s v="Full Time"/>
    <x v="3"/>
    <x v="5"/>
    <n v="75000"/>
    <s v="CA"/>
    <n v="0"/>
    <s v="CA"/>
    <s v="North America"/>
    <s v="Medium"/>
  </r>
  <r>
    <x v="2"/>
    <s v="Senior Level"/>
    <s v="SE"/>
    <s v="Full Time"/>
    <x v="4"/>
    <x v="4"/>
    <n v="214000"/>
    <s v="US"/>
    <n v="100"/>
    <s v="US"/>
    <s v="North America"/>
    <s v="Medium"/>
  </r>
  <r>
    <x v="2"/>
    <s v="Senior Level"/>
    <s v="SE"/>
    <s v="Full Time"/>
    <x v="4"/>
    <x v="4"/>
    <n v="192600"/>
    <s v="US"/>
    <n v="100"/>
    <s v="US"/>
    <s v="North America"/>
    <s v="Medium"/>
  </r>
  <r>
    <x v="2"/>
    <s v="Senior Level"/>
    <s v="SE"/>
    <s v="Full Time"/>
    <x v="2"/>
    <x v="39"/>
    <n v="266400"/>
    <s v="US"/>
    <n v="100"/>
    <s v="US"/>
    <s v="North America"/>
    <s v="Medium"/>
  </r>
  <r>
    <x v="2"/>
    <s v="Senior Level"/>
    <s v="SE"/>
    <s v="Full Time"/>
    <x v="2"/>
    <x v="39"/>
    <n v="213120"/>
    <s v="US"/>
    <n v="100"/>
    <s v="US"/>
    <s v="North America"/>
    <s v="Medium"/>
  </r>
  <r>
    <x v="2"/>
    <s v="Senior Level"/>
    <s v="SE"/>
    <s v="Full Time"/>
    <x v="3"/>
    <x v="5"/>
    <n v="112900"/>
    <s v="US"/>
    <n v="100"/>
    <s v="US"/>
    <s v="North America"/>
    <s v="Medium"/>
  </r>
  <r>
    <x v="2"/>
    <s v="Senior Level"/>
    <s v="SE"/>
    <s v="Full Time"/>
    <x v="2"/>
    <x v="10"/>
    <n v="155000"/>
    <s v="US"/>
    <n v="100"/>
    <s v="US"/>
    <s v="North America"/>
    <s v="Medium"/>
  </r>
  <r>
    <x v="2"/>
    <s v="Mid level"/>
    <s v="MI"/>
    <s v="Full Time"/>
    <x v="0"/>
    <x v="0"/>
    <n v="141300"/>
    <s v="US"/>
    <n v="0"/>
    <s v="US"/>
    <s v="North America"/>
    <s v="Medium"/>
  </r>
  <r>
    <x v="2"/>
    <s v="Mid level"/>
    <s v="MI"/>
    <s v="Full Time"/>
    <x v="0"/>
    <x v="0"/>
    <n v="102100"/>
    <s v="US"/>
    <n v="0"/>
    <s v="US"/>
    <s v="North America"/>
    <s v="Medium"/>
  </r>
  <r>
    <x v="2"/>
    <s v="Senior Level"/>
    <s v="SE"/>
    <s v="Full Time"/>
    <x v="3"/>
    <x v="5"/>
    <n v="115934"/>
    <s v="US"/>
    <n v="100"/>
    <s v="US"/>
    <s v="North America"/>
    <s v="Medium"/>
  </r>
  <r>
    <x v="2"/>
    <s v="Senior Level"/>
    <s v="SE"/>
    <s v="Full Time"/>
    <x v="3"/>
    <x v="5"/>
    <n v="81666"/>
    <s v="US"/>
    <n v="100"/>
    <s v="US"/>
    <s v="North America"/>
    <s v="Medium"/>
  </r>
  <r>
    <x v="2"/>
    <s v="Mid level"/>
    <s v="MI"/>
    <s v="Full Time"/>
    <x v="2"/>
    <x v="10"/>
    <n v="206699"/>
    <s v="US"/>
    <n v="0"/>
    <s v="US"/>
    <s v="North America"/>
    <s v="Medium"/>
  </r>
  <r>
    <x v="2"/>
    <s v="Mid level"/>
    <s v="MI"/>
    <s v="Full Time"/>
    <x v="2"/>
    <x v="10"/>
    <n v="99100"/>
    <s v="US"/>
    <n v="0"/>
    <s v="US"/>
    <s v="North America"/>
    <s v="Medium"/>
  </r>
  <r>
    <x v="2"/>
    <s v="Senior Level"/>
    <s v="SE"/>
    <s v="Full Time"/>
    <x v="2"/>
    <x v="10"/>
    <n v="130000"/>
    <s v="US"/>
    <n v="100"/>
    <s v="US"/>
    <s v="North America"/>
    <s v="Medium"/>
  </r>
  <r>
    <x v="2"/>
    <s v="Senior Level"/>
    <s v="SE"/>
    <s v="Full Time"/>
    <x v="2"/>
    <x v="10"/>
    <n v="115000"/>
    <s v="US"/>
    <n v="100"/>
    <s v="US"/>
    <s v="North America"/>
    <s v="Medium"/>
  </r>
  <r>
    <x v="2"/>
    <s v="Senior Level"/>
    <s v="SE"/>
    <s v="Full Time"/>
    <x v="2"/>
    <x v="10"/>
    <n v="110500"/>
    <s v="US"/>
    <n v="100"/>
    <s v="US"/>
    <s v="North America"/>
    <s v="Medium"/>
  </r>
  <r>
    <x v="2"/>
    <s v="Senior Level"/>
    <s v="SE"/>
    <s v="Full Time"/>
    <x v="2"/>
    <x v="10"/>
    <n v="130000"/>
    <s v="US"/>
    <n v="100"/>
    <s v="US"/>
    <s v="North America"/>
    <s v="Medium"/>
  </r>
  <r>
    <x v="2"/>
    <s v="Senior Level"/>
    <s v="SE"/>
    <s v="Full Time"/>
    <x v="3"/>
    <x v="5"/>
    <n v="99050"/>
    <s v="US"/>
    <n v="100"/>
    <s v="US"/>
    <s v="North America"/>
    <s v="Medium"/>
  </r>
  <r>
    <x v="2"/>
    <s v="Senior Level"/>
    <s v="SE"/>
    <s v="Full Time"/>
    <x v="2"/>
    <x v="10"/>
    <n v="160000"/>
    <s v="US"/>
    <n v="100"/>
    <s v="US"/>
    <s v="North America"/>
    <s v="Medium"/>
  </r>
  <r>
    <x v="2"/>
    <s v="Senior Level"/>
    <s v="SE"/>
    <s v="Full Time"/>
    <x v="0"/>
    <x v="0"/>
    <n v="205300"/>
    <s v="US"/>
    <n v="0"/>
    <s v="US"/>
    <s v="North America"/>
    <s v="Large"/>
  </r>
  <r>
    <x v="2"/>
    <s v="Senior Level"/>
    <s v="SE"/>
    <s v="Full Time"/>
    <x v="0"/>
    <x v="0"/>
    <n v="140400"/>
    <s v="US"/>
    <n v="0"/>
    <s v="US"/>
    <s v="North America"/>
    <s v="Large"/>
  </r>
  <r>
    <x v="2"/>
    <s v="Senior Level"/>
    <s v="SE"/>
    <s v="Full Time"/>
    <x v="0"/>
    <x v="0"/>
    <n v="176000"/>
    <s v="US"/>
    <n v="100"/>
    <s v="US"/>
    <s v="North America"/>
    <s v="Medium"/>
  </r>
  <r>
    <x v="2"/>
    <s v="Senior Level"/>
    <s v="SE"/>
    <s v="Full Time"/>
    <x v="0"/>
    <x v="0"/>
    <n v="144000"/>
    <s v="US"/>
    <n v="100"/>
    <s v="US"/>
    <s v="North America"/>
    <s v="Medium"/>
  </r>
  <r>
    <x v="2"/>
    <s v="Senior Level"/>
    <s v="SE"/>
    <s v="Full Time"/>
    <x v="2"/>
    <x v="10"/>
    <n v="200100"/>
    <s v="US"/>
    <n v="100"/>
    <s v="US"/>
    <s v="North America"/>
    <s v="Medium"/>
  </r>
  <r>
    <x v="2"/>
    <s v="Senior Level"/>
    <s v="SE"/>
    <s v="Full Time"/>
    <x v="2"/>
    <x v="10"/>
    <n v="160000"/>
    <s v="US"/>
    <n v="100"/>
    <s v="US"/>
    <s v="North America"/>
    <s v="Medium"/>
  </r>
  <r>
    <x v="2"/>
    <s v="Senior Level"/>
    <s v="SE"/>
    <s v="Full Time"/>
    <x v="2"/>
    <x v="10"/>
    <n v="145000"/>
    <s v="US"/>
    <n v="100"/>
    <s v="US"/>
    <s v="North America"/>
    <s v="Medium"/>
  </r>
  <r>
    <x v="2"/>
    <s v="Senior Level"/>
    <s v="SE"/>
    <s v="Full Time"/>
    <x v="2"/>
    <x v="10"/>
    <n v="70500"/>
    <s v="US"/>
    <n v="0"/>
    <s v="US"/>
    <s v="North America"/>
    <s v="Medium"/>
  </r>
  <r>
    <x v="2"/>
    <s v="Senior Level"/>
    <s v="SE"/>
    <s v="Full Time"/>
    <x v="0"/>
    <x v="0"/>
    <n v="205300"/>
    <s v="US"/>
    <n v="0"/>
    <s v="US"/>
    <s v="North America"/>
    <s v="Medium"/>
  </r>
  <r>
    <x v="2"/>
    <s v="Senior Level"/>
    <s v="SE"/>
    <s v="Full Time"/>
    <x v="0"/>
    <x v="0"/>
    <n v="140400"/>
    <s v="US"/>
    <n v="0"/>
    <s v="US"/>
    <s v="North America"/>
    <s v="Medium"/>
  </r>
  <r>
    <x v="2"/>
    <s v="Senior Level"/>
    <s v="SE"/>
    <s v="Full Time"/>
    <x v="2"/>
    <x v="44"/>
    <n v="205300"/>
    <s v="US"/>
    <n v="0"/>
    <s v="US"/>
    <s v="North America"/>
    <s v="Medium"/>
  </r>
  <r>
    <x v="2"/>
    <s v="Senior Level"/>
    <s v="SE"/>
    <s v="Full Time"/>
    <x v="2"/>
    <x v="44"/>
    <n v="184700"/>
    <s v="US"/>
    <n v="0"/>
    <s v="US"/>
    <s v="North America"/>
    <s v="Medium"/>
  </r>
  <r>
    <x v="2"/>
    <s v="Senior Level"/>
    <s v="SE"/>
    <s v="Full Time"/>
    <x v="2"/>
    <x v="10"/>
    <n v="175100"/>
    <s v="US"/>
    <n v="100"/>
    <s v="US"/>
    <s v="North America"/>
    <s v="Medium"/>
  </r>
  <r>
    <x v="2"/>
    <s v="Senior Level"/>
    <s v="SE"/>
    <s v="Full Time"/>
    <x v="2"/>
    <x v="10"/>
    <n v="140250"/>
    <s v="US"/>
    <n v="100"/>
    <s v="US"/>
    <s v="North America"/>
    <s v="Medium"/>
  </r>
  <r>
    <x v="2"/>
    <s v="Senior Level"/>
    <s v="SE"/>
    <s v="Full Time"/>
    <x v="3"/>
    <x v="5"/>
    <n v="116150"/>
    <s v="US"/>
    <n v="100"/>
    <s v="US"/>
    <s v="North America"/>
    <s v="Medium"/>
  </r>
  <r>
    <x v="2"/>
    <s v="Senior Level"/>
    <s v="SE"/>
    <s v="Full Time"/>
    <x v="2"/>
    <x v="10"/>
    <n v="54000"/>
    <s v="US"/>
    <n v="0"/>
    <s v="US"/>
    <s v="North America"/>
    <s v="Medium"/>
  </r>
  <r>
    <x v="2"/>
    <s v="Senior Level"/>
    <s v="SE"/>
    <s v="Full Time"/>
    <x v="3"/>
    <x v="5"/>
    <n v="170000"/>
    <s v="US"/>
    <n v="100"/>
    <s v="US"/>
    <s v="North America"/>
    <s v="Medium"/>
  </r>
  <r>
    <x v="2"/>
    <s v="Mid level"/>
    <s v="MI"/>
    <s v="Full Time"/>
    <x v="3"/>
    <x v="5"/>
    <n v="65438"/>
    <s v="GB"/>
    <n v="0"/>
    <s v="GB"/>
    <s v="Europe"/>
    <s v="Medium"/>
  </r>
  <r>
    <x v="2"/>
    <s v="Senior Level"/>
    <s v="SE"/>
    <s v="Full Time"/>
    <x v="3"/>
    <x v="5"/>
    <n v="80000"/>
    <s v="US"/>
    <n v="100"/>
    <s v="US"/>
    <s v="North America"/>
    <s v="Medium"/>
  </r>
  <r>
    <x v="2"/>
    <s v="Senior Level"/>
    <s v="SE"/>
    <s v="Full Time"/>
    <x v="0"/>
    <x v="0"/>
    <n v="140000"/>
    <s v="US"/>
    <n v="100"/>
    <s v="US"/>
    <s v="North America"/>
    <s v="Medium"/>
  </r>
  <r>
    <x v="2"/>
    <s v="Senior Level"/>
    <s v="SE"/>
    <s v="Full Time"/>
    <x v="0"/>
    <x v="0"/>
    <n v="210000"/>
    <s v="US"/>
    <n v="100"/>
    <s v="US"/>
    <s v="North America"/>
    <s v="Medium"/>
  </r>
  <r>
    <x v="2"/>
    <s v="Senior Level"/>
    <s v="SE"/>
    <s v="Full Time"/>
    <x v="0"/>
    <x v="0"/>
    <n v="140000"/>
    <s v="US"/>
    <n v="100"/>
    <s v="US"/>
    <s v="North America"/>
    <s v="Medium"/>
  </r>
  <r>
    <x v="2"/>
    <s v="Senior Level"/>
    <s v="SE"/>
    <s v="Full Time"/>
    <x v="3"/>
    <x v="5"/>
    <n v="100000"/>
    <s v="US"/>
    <n v="100"/>
    <s v="US"/>
    <s v="North America"/>
    <s v="Medium"/>
  </r>
  <r>
    <x v="2"/>
    <s v="Senior Level"/>
    <s v="SE"/>
    <s v="Full Time"/>
    <x v="3"/>
    <x v="5"/>
    <n v="69000"/>
    <s v="US"/>
    <n v="100"/>
    <s v="US"/>
    <s v="North America"/>
    <s v="Medium"/>
  </r>
  <r>
    <x v="2"/>
    <s v="Senior Level"/>
    <s v="SE"/>
    <s v="Full Time"/>
    <x v="0"/>
    <x v="0"/>
    <n v="210000"/>
    <s v="US"/>
    <n v="100"/>
    <s v="US"/>
    <s v="North America"/>
    <s v="Medium"/>
  </r>
  <r>
    <x v="2"/>
    <s v="Senior Level"/>
    <s v="SE"/>
    <s v="Full Time"/>
    <x v="0"/>
    <x v="0"/>
    <n v="140000"/>
    <s v="US"/>
    <n v="100"/>
    <s v="US"/>
    <s v="North America"/>
    <s v="Medium"/>
  </r>
  <r>
    <x v="2"/>
    <s v="Senior Level"/>
    <s v="SE"/>
    <s v="Full Time"/>
    <x v="0"/>
    <x v="0"/>
    <n v="210000"/>
    <s v="US"/>
    <n v="100"/>
    <s v="US"/>
    <s v="North America"/>
    <s v="Medium"/>
  </r>
  <r>
    <x v="2"/>
    <s v="Senior Level"/>
    <s v="SE"/>
    <s v="Full Time"/>
    <x v="3"/>
    <x v="5"/>
    <n v="150075"/>
    <s v="US"/>
    <n v="100"/>
    <s v="US"/>
    <s v="North America"/>
    <s v="Medium"/>
  </r>
  <r>
    <x v="2"/>
    <s v="Senior Level"/>
    <s v="SE"/>
    <s v="Full Time"/>
    <x v="2"/>
    <x v="10"/>
    <n v="100000"/>
    <s v="US"/>
    <n v="100"/>
    <s v="US"/>
    <s v="North America"/>
    <s v="Medium"/>
  </r>
  <r>
    <x v="2"/>
    <s v="Senior Level"/>
    <s v="SE"/>
    <s v="Full Time"/>
    <x v="2"/>
    <x v="10"/>
    <n v="25000"/>
    <s v="US"/>
    <n v="100"/>
    <s v="US"/>
    <s v="North America"/>
    <s v="Medium"/>
  </r>
  <r>
    <x v="2"/>
    <s v="Senior Level"/>
    <s v="SE"/>
    <s v="Full Time"/>
    <x v="3"/>
    <x v="5"/>
    <n v="126500"/>
    <s v="US"/>
    <n v="100"/>
    <s v="US"/>
    <s v="North America"/>
    <s v="Medium"/>
  </r>
  <r>
    <x v="2"/>
    <s v="Senior Level"/>
    <s v="SE"/>
    <s v="Full Time"/>
    <x v="3"/>
    <x v="5"/>
    <n v="106260"/>
    <s v="US"/>
    <n v="100"/>
    <s v="US"/>
    <s v="North America"/>
    <s v="Medium"/>
  </r>
  <r>
    <x v="2"/>
    <s v="Senior Level"/>
    <s v="SE"/>
    <s v="Full Time"/>
    <x v="2"/>
    <x v="10"/>
    <n v="220110"/>
    <s v="US"/>
    <n v="100"/>
    <s v="US"/>
    <s v="North America"/>
    <s v="Medium"/>
  </r>
  <r>
    <x v="2"/>
    <s v="Senior Level"/>
    <s v="SE"/>
    <s v="Full Time"/>
    <x v="2"/>
    <x v="10"/>
    <n v="160080"/>
    <s v="US"/>
    <n v="100"/>
    <s v="US"/>
    <s v="North America"/>
    <s v="Medium"/>
  </r>
  <r>
    <x v="2"/>
    <s v="Senior Level"/>
    <s v="SE"/>
    <s v="Full Time"/>
    <x v="3"/>
    <x v="5"/>
    <n v="105000"/>
    <s v="US"/>
    <n v="100"/>
    <s v="US"/>
    <s v="North America"/>
    <s v="Medium"/>
  </r>
  <r>
    <x v="2"/>
    <s v="Senior Level"/>
    <s v="SE"/>
    <s v="Full Time"/>
    <x v="3"/>
    <x v="5"/>
    <n v="110925"/>
    <s v="US"/>
    <n v="100"/>
    <s v="US"/>
    <s v="North America"/>
    <s v="Medium"/>
  </r>
  <r>
    <x v="2"/>
    <s v="Mid level"/>
    <s v="MI"/>
    <s v="Full Time"/>
    <x v="3"/>
    <x v="5"/>
    <n v="45807"/>
    <s v="GB"/>
    <n v="0"/>
    <s v="GB"/>
    <s v="Europe"/>
    <s v="Medium"/>
  </r>
  <r>
    <x v="2"/>
    <s v="Senior Level"/>
    <s v="SE"/>
    <s v="Full Time"/>
    <x v="0"/>
    <x v="0"/>
    <n v="140000"/>
    <s v="US"/>
    <n v="100"/>
    <s v="US"/>
    <s v="North America"/>
    <s v="Medium"/>
  </r>
  <r>
    <x v="2"/>
    <s v="Senior Level"/>
    <s v="SE"/>
    <s v="Full Time"/>
    <x v="3"/>
    <x v="5"/>
    <n v="99000"/>
    <s v="US"/>
    <n v="0"/>
    <s v="US"/>
    <s v="North America"/>
    <s v="Medium"/>
  </r>
  <r>
    <x v="2"/>
    <s v="Senior Level"/>
    <s v="SE"/>
    <s v="Full Time"/>
    <x v="3"/>
    <x v="5"/>
    <n v="60000"/>
    <s v="US"/>
    <n v="100"/>
    <s v="US"/>
    <s v="North America"/>
    <s v="Medium"/>
  </r>
  <r>
    <x v="2"/>
    <s v="Senior Level"/>
    <s v="SE"/>
    <s v="Full Time"/>
    <x v="2"/>
    <x v="39"/>
    <n v="192564"/>
    <s v="US"/>
    <n v="100"/>
    <s v="US"/>
    <s v="North America"/>
    <s v="Medium"/>
  </r>
  <r>
    <x v="2"/>
    <s v="Senior Level"/>
    <s v="SE"/>
    <s v="Full Time"/>
    <x v="2"/>
    <x v="39"/>
    <n v="144854"/>
    <s v="US"/>
    <n v="100"/>
    <s v="US"/>
    <s v="North America"/>
    <s v="Medium"/>
  </r>
  <r>
    <x v="2"/>
    <s v="Senior Level"/>
    <s v="SE"/>
    <s v="Full Time"/>
    <x v="0"/>
    <x v="0"/>
    <n v="230000"/>
    <s v="US"/>
    <n v="100"/>
    <s v="US"/>
    <s v="North America"/>
    <s v="Medium"/>
  </r>
  <r>
    <x v="2"/>
    <s v="Senior Level"/>
    <s v="SE"/>
    <s v="Full Time"/>
    <x v="0"/>
    <x v="0"/>
    <n v="150000"/>
    <s v="US"/>
    <n v="100"/>
    <s v="US"/>
    <s v="North America"/>
    <s v="Medium"/>
  </r>
  <r>
    <x v="2"/>
    <s v="Senior Level"/>
    <s v="SE"/>
    <s v="Full Time"/>
    <x v="5"/>
    <x v="36"/>
    <n v="150260"/>
    <s v="US"/>
    <n v="100"/>
    <s v="US"/>
    <s v="North America"/>
    <s v="Medium"/>
  </r>
  <r>
    <x v="2"/>
    <s v="Senior Level"/>
    <s v="SE"/>
    <s v="Full Time"/>
    <x v="5"/>
    <x v="36"/>
    <n v="109280"/>
    <s v="US"/>
    <n v="100"/>
    <s v="US"/>
    <s v="North America"/>
    <s v="Medium"/>
  </r>
  <r>
    <x v="2"/>
    <s v="Senior Level"/>
    <s v="SE"/>
    <s v="Full Time"/>
    <x v="0"/>
    <x v="0"/>
    <n v="210000"/>
    <s v="US"/>
    <n v="100"/>
    <s v="US"/>
    <s v="North America"/>
    <s v="Medium"/>
  </r>
  <r>
    <x v="2"/>
    <s v="Senior Level"/>
    <s v="SE"/>
    <s v="Full Time"/>
    <x v="3"/>
    <x v="5"/>
    <n v="170000"/>
    <s v="US"/>
    <n v="100"/>
    <s v="US"/>
    <s v="North America"/>
    <s v="Medium"/>
  </r>
  <r>
    <x v="2"/>
    <s v="Mid level"/>
    <s v="MI"/>
    <s v="Full Time"/>
    <x v="0"/>
    <x v="0"/>
    <n v="160000"/>
    <s v="US"/>
    <n v="100"/>
    <s v="US"/>
    <s v="North America"/>
    <s v="Medium"/>
  </r>
  <r>
    <x v="2"/>
    <s v="Mid level"/>
    <s v="MI"/>
    <s v="Full Time"/>
    <x v="0"/>
    <x v="0"/>
    <n v="130000"/>
    <s v="US"/>
    <n v="100"/>
    <s v="US"/>
    <s v="North America"/>
    <s v="Medium"/>
  </r>
  <r>
    <x v="2"/>
    <s v="Entry Level"/>
    <s v="EN"/>
    <s v="Full Time"/>
    <x v="3"/>
    <x v="5"/>
    <n v="67000"/>
    <s v="CA"/>
    <n v="0"/>
    <s v="CA"/>
    <s v="North America"/>
    <s v="Medium"/>
  </r>
  <r>
    <x v="2"/>
    <s v="Entry Level"/>
    <s v="EN"/>
    <s v="Full Time"/>
    <x v="3"/>
    <x v="5"/>
    <n v="52000"/>
    <s v="CA"/>
    <n v="0"/>
    <s v="CA"/>
    <s v="North America"/>
    <s v="Medium"/>
  </r>
  <r>
    <x v="2"/>
    <s v="Senior Level"/>
    <s v="SE"/>
    <s v="Full Time"/>
    <x v="2"/>
    <x v="10"/>
    <n v="154000"/>
    <s v="US"/>
    <n v="100"/>
    <s v="US"/>
    <s v="North America"/>
    <s v="Medium"/>
  </r>
  <r>
    <x v="2"/>
    <s v="Senior Level"/>
    <s v="SE"/>
    <s v="Full Time"/>
    <x v="2"/>
    <x v="10"/>
    <n v="126000"/>
    <s v="US"/>
    <n v="100"/>
    <s v="US"/>
    <s v="North America"/>
    <s v="Medium"/>
  </r>
  <r>
    <x v="2"/>
    <s v="Senior Level"/>
    <s v="SE"/>
    <s v="Full Time"/>
    <x v="3"/>
    <x v="5"/>
    <n v="129000"/>
    <s v="US"/>
    <n v="0"/>
    <s v="US"/>
    <s v="North America"/>
    <s v="Medium"/>
  </r>
  <r>
    <x v="2"/>
    <s v="Senior Level"/>
    <s v="SE"/>
    <s v="Full Time"/>
    <x v="3"/>
    <x v="5"/>
    <n v="150000"/>
    <s v="US"/>
    <n v="100"/>
    <s v="US"/>
    <s v="North America"/>
    <s v="Medium"/>
  </r>
  <r>
    <x v="2"/>
    <s v="Mid level"/>
    <s v="MI"/>
    <s v="Full Time"/>
    <x v="0"/>
    <x v="19"/>
    <n v="200000"/>
    <s v="IN"/>
    <n v="100"/>
    <s v="US"/>
    <s v="North America"/>
    <s v="Large"/>
  </r>
  <r>
    <x v="3"/>
    <m/>
    <m/>
    <m/>
    <x v="7"/>
    <x v="50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7">
  <r>
    <x v="0"/>
    <s v="Mid level"/>
    <s v="MI"/>
    <s v="Full Time"/>
    <x v="0"/>
  </r>
  <r>
    <x v="0"/>
    <s v="Senior Level"/>
    <s v="SE"/>
    <s v="Full Time"/>
    <x v="1"/>
  </r>
  <r>
    <x v="0"/>
    <s v="Senior Level"/>
    <s v="SE"/>
    <s v="Full Time"/>
    <x v="2"/>
  </r>
  <r>
    <x v="0"/>
    <s v="Mid level"/>
    <s v="MI"/>
    <s v="Full Time"/>
    <x v="3"/>
  </r>
  <r>
    <x v="0"/>
    <s v="Senior Level"/>
    <s v="SE"/>
    <s v="Full Time"/>
    <x v="4"/>
  </r>
  <r>
    <x v="0"/>
    <s v="Entry Level"/>
    <s v="EN"/>
    <s v="Full Time"/>
    <x v="3"/>
  </r>
  <r>
    <x v="0"/>
    <s v="Senior Level"/>
    <s v="SE"/>
    <s v="Full Time"/>
    <x v="5"/>
  </r>
  <r>
    <x v="0"/>
    <s v="Mid level"/>
    <s v="MI"/>
    <s v="Full Time"/>
    <x v="0"/>
  </r>
  <r>
    <x v="0"/>
    <s v="Mid level"/>
    <s v="MI"/>
    <s v="Full Time"/>
    <x v="3"/>
  </r>
  <r>
    <x v="0"/>
    <s v="Senior Level"/>
    <s v="SE"/>
    <s v="Full Time"/>
    <x v="5"/>
  </r>
  <r>
    <x v="0"/>
    <s v="Entry Level"/>
    <s v="EN"/>
    <s v="Full Time"/>
    <x v="0"/>
  </r>
  <r>
    <x v="0"/>
    <s v="Mid level"/>
    <s v="MI"/>
    <s v="Full Time"/>
    <x v="0"/>
  </r>
  <r>
    <x v="0"/>
    <s v="Entry Level"/>
    <s v="EN"/>
    <s v="Full Time"/>
    <x v="0"/>
  </r>
  <r>
    <x v="0"/>
    <s v="Mid level"/>
    <s v="MI"/>
    <s v="Full Time"/>
    <x v="5"/>
  </r>
  <r>
    <x v="0"/>
    <s v="Mid level"/>
    <s v="MI"/>
    <s v="Full Time"/>
    <x v="3"/>
  </r>
  <r>
    <x v="0"/>
    <s v="Mid level"/>
    <s v="MI"/>
    <s v="Full Time"/>
    <x v="3"/>
  </r>
  <r>
    <x v="0"/>
    <s v="Entry Level"/>
    <s v="EN"/>
    <s v="Full Time"/>
    <x v="2"/>
  </r>
  <r>
    <x v="0"/>
    <s v="Senior Level"/>
    <s v="SE"/>
    <s v="Full Time"/>
    <x v="2"/>
  </r>
  <r>
    <x v="0"/>
    <s v="Entry Level"/>
    <s v="EN"/>
    <s v="Full Time"/>
    <x v="3"/>
  </r>
  <r>
    <x v="0"/>
    <s v="Mid level"/>
    <s v="MI"/>
    <s v="Full Time"/>
    <x v="5"/>
  </r>
  <r>
    <x v="0"/>
    <s v="Mid level"/>
    <s v="MI"/>
    <s v="Full Time"/>
    <x v="4"/>
  </r>
  <r>
    <x v="0"/>
    <s v="Mid level"/>
    <s v="MI"/>
    <s v="Full Time"/>
    <x v="3"/>
  </r>
  <r>
    <x v="0"/>
    <s v="Senior Level"/>
    <s v="SE"/>
    <s v="Full Time"/>
    <x v="2"/>
  </r>
  <r>
    <x v="0"/>
    <s v="Mid level"/>
    <s v="MI"/>
    <s v="Full Time"/>
    <x v="3"/>
  </r>
  <r>
    <x v="0"/>
    <s v="Mid level"/>
    <s v="MI"/>
    <s v="Full Time"/>
    <x v="5"/>
  </r>
  <r>
    <x v="0"/>
    <s v="Expert Level"/>
    <s v="EX"/>
    <s v="Full Time"/>
    <x v="5"/>
  </r>
  <r>
    <x v="0"/>
    <s v="Entry Level"/>
    <s v="EN"/>
    <s v="Full Time"/>
    <x v="1"/>
  </r>
  <r>
    <x v="0"/>
    <s v="Senior Level"/>
    <s v="SE"/>
    <s v="Full Time"/>
    <x v="2"/>
  </r>
  <r>
    <x v="0"/>
    <s v="Entry Level"/>
    <s v="EN"/>
    <s v="Contract"/>
    <x v="3"/>
  </r>
  <r>
    <x v="0"/>
    <s v="Senior Level"/>
    <s v="SE"/>
    <s v="Full Time"/>
    <x v="5"/>
  </r>
  <r>
    <x v="0"/>
    <s v="Mid level"/>
    <s v="MI"/>
    <s v="Full Time"/>
    <x v="5"/>
  </r>
  <r>
    <x v="0"/>
    <s v="Entry Level"/>
    <s v="EN"/>
    <s v="Full Time"/>
    <x v="2"/>
  </r>
  <r>
    <x v="0"/>
    <s v="Senior Level"/>
    <s v="SE"/>
    <s v="Full Time"/>
    <x v="0"/>
  </r>
  <r>
    <x v="0"/>
    <s v="Mid level"/>
    <s v="MI"/>
    <s v="Full Time"/>
    <x v="1"/>
  </r>
  <r>
    <x v="0"/>
    <s v="Mid level"/>
    <s v="MI"/>
    <s v="Full Time"/>
    <x v="3"/>
  </r>
  <r>
    <x v="0"/>
    <s v="Mid level"/>
    <s v="MI"/>
    <s v="Full Time"/>
    <x v="2"/>
  </r>
  <r>
    <x v="0"/>
    <s v="Mid level"/>
    <s v="MI"/>
    <s v="Full Time"/>
    <x v="3"/>
  </r>
  <r>
    <x v="0"/>
    <s v="Entry Level"/>
    <s v="EN"/>
    <s v="Full Time"/>
    <x v="4"/>
  </r>
  <r>
    <x v="0"/>
    <s v="Entry Level"/>
    <s v="EN"/>
    <s v="Full Time"/>
    <x v="3"/>
  </r>
  <r>
    <x v="0"/>
    <s v="Entry Level"/>
    <s v="EN"/>
    <s v="Full Time"/>
    <x v="4"/>
  </r>
  <r>
    <x v="0"/>
    <s v="Mid level"/>
    <s v="MI"/>
    <s v="Full Time"/>
    <x v="0"/>
  </r>
  <r>
    <x v="0"/>
    <s v="Expert Level"/>
    <s v="EX"/>
    <s v="Full Time"/>
    <x v="5"/>
  </r>
  <r>
    <x v="0"/>
    <s v="Mid level"/>
    <s v="MI"/>
    <s v="Full Time"/>
    <x v="4"/>
  </r>
  <r>
    <x v="0"/>
    <s v="Mid level"/>
    <s v="MI"/>
    <s v="Full Time"/>
    <x v="2"/>
  </r>
  <r>
    <x v="0"/>
    <s v="Mid level"/>
    <s v="MI"/>
    <s v="Full Time"/>
    <x v="2"/>
  </r>
  <r>
    <x v="0"/>
    <s v="Entry Level"/>
    <s v="EN"/>
    <s v="Part Time"/>
    <x v="4"/>
  </r>
  <r>
    <x v="0"/>
    <s v="Mid level"/>
    <s v="MI"/>
    <s v="Full Time"/>
    <x v="0"/>
  </r>
  <r>
    <x v="0"/>
    <s v="Senior Level"/>
    <s v="SE"/>
    <s v="Full Time"/>
    <x v="2"/>
  </r>
  <r>
    <x v="0"/>
    <s v="Mid level"/>
    <s v="MI"/>
    <s v="Full Time"/>
    <x v="0"/>
  </r>
  <r>
    <x v="0"/>
    <s v="Mid level"/>
    <s v="MI"/>
    <s v="Full Time"/>
    <x v="2"/>
  </r>
  <r>
    <x v="0"/>
    <s v="Entry Level"/>
    <s v="EN"/>
    <s v="Full Time"/>
    <x v="3"/>
  </r>
  <r>
    <x v="0"/>
    <s v="Entry Level"/>
    <s v="EN"/>
    <s v="Full Time"/>
    <x v="3"/>
  </r>
  <r>
    <x v="0"/>
    <s v="Entry Level"/>
    <s v="EN"/>
    <s v="Full Time"/>
    <x v="0"/>
  </r>
  <r>
    <x v="0"/>
    <s v="Entry Level"/>
    <s v="EN"/>
    <s v="Full Time"/>
    <x v="2"/>
  </r>
  <r>
    <x v="0"/>
    <s v="Senior Level"/>
    <s v="SE"/>
    <s v="Freelance"/>
    <x v="2"/>
  </r>
  <r>
    <x v="0"/>
    <s v="Senior Level"/>
    <s v="SE"/>
    <s v="Full Time"/>
    <x v="1"/>
  </r>
  <r>
    <x v="0"/>
    <s v="Mid level"/>
    <s v="MI"/>
    <s v="Full Time"/>
    <x v="0"/>
  </r>
  <r>
    <x v="0"/>
    <s v="Mid level"/>
    <s v="MI"/>
    <s v="Full Time"/>
    <x v="0"/>
  </r>
  <r>
    <x v="0"/>
    <s v="Senior Level"/>
    <s v="SE"/>
    <s v="Full Time"/>
    <x v="0"/>
  </r>
  <r>
    <x v="0"/>
    <s v="Mid level"/>
    <s v="MI"/>
    <s v="Full Time"/>
    <x v="0"/>
  </r>
  <r>
    <x v="0"/>
    <s v="Mid level"/>
    <s v="MI"/>
    <s v="Full Time"/>
    <x v="2"/>
  </r>
  <r>
    <x v="0"/>
    <s v="Mid level"/>
    <s v="MI"/>
    <s v="Full Time"/>
    <x v="2"/>
  </r>
  <r>
    <x v="0"/>
    <s v="Entry Level"/>
    <s v="EN"/>
    <s v="Part Time"/>
    <x v="0"/>
  </r>
  <r>
    <x v="0"/>
    <s v="Senior Level"/>
    <s v="SE"/>
    <s v="Full Time"/>
    <x v="0"/>
  </r>
  <r>
    <x v="0"/>
    <s v="Senior Level"/>
    <s v="SE"/>
    <s v="Full Time"/>
    <x v="4"/>
  </r>
  <r>
    <x v="0"/>
    <s v="Entry Level"/>
    <s v="EN"/>
    <s v="Full Time"/>
    <x v="0"/>
  </r>
  <r>
    <x v="0"/>
    <s v="Entry Level"/>
    <s v="EN"/>
    <s v="Full Time"/>
    <x v="0"/>
  </r>
  <r>
    <x v="0"/>
    <s v="Senior Level"/>
    <s v="SE"/>
    <s v="Full Time"/>
    <x v="5"/>
  </r>
  <r>
    <x v="0"/>
    <s v="Entry Level"/>
    <s v="EN"/>
    <s v="Full Time"/>
    <x v="0"/>
  </r>
  <r>
    <x v="0"/>
    <s v="Senior Level"/>
    <s v="SE"/>
    <s v="Full Time"/>
    <x v="0"/>
  </r>
  <r>
    <x v="0"/>
    <s v="Mid level"/>
    <s v="MI"/>
    <s v="Full Time"/>
    <x v="0"/>
  </r>
  <r>
    <x v="0"/>
    <s v="Mid level"/>
    <s v="MI"/>
    <s v="Full Time"/>
    <x v="0"/>
  </r>
  <r>
    <x v="1"/>
    <s v="Entry Level"/>
    <s v="EN"/>
    <s v="Full Time"/>
    <x v="1"/>
  </r>
  <r>
    <x v="1"/>
    <s v="Expert Level"/>
    <s v="EX"/>
    <s v="Full Time"/>
    <x v="3"/>
  </r>
  <r>
    <x v="1"/>
    <s v="Expert Level"/>
    <s v="EX"/>
    <s v="Full Time"/>
    <x v="5"/>
  </r>
  <r>
    <x v="1"/>
    <s v="Senior Level"/>
    <s v="SE"/>
    <s v="Full Time"/>
    <x v="0"/>
  </r>
  <r>
    <x v="1"/>
    <s v="Mid level"/>
    <s v="MI"/>
    <s v="Full Time"/>
    <x v="3"/>
  </r>
  <r>
    <x v="1"/>
    <s v="Mid level"/>
    <s v="MI"/>
    <s v="Part Time"/>
    <x v="6"/>
  </r>
  <r>
    <x v="1"/>
    <s v="Mid level"/>
    <s v="MI"/>
    <s v="Contract"/>
    <x v="4"/>
  </r>
  <r>
    <x v="1"/>
    <s v="Entry Level"/>
    <s v="EN"/>
    <s v="Full Time"/>
    <x v="3"/>
  </r>
  <r>
    <x v="1"/>
    <s v="Senior Level"/>
    <s v="SE"/>
    <s v="Full Time"/>
    <x v="3"/>
  </r>
  <r>
    <x v="1"/>
    <s v="Mid level"/>
    <s v="MI"/>
    <s v="Full Time"/>
    <x v="2"/>
  </r>
  <r>
    <x v="1"/>
    <s v="Mid level"/>
    <s v="MI"/>
    <s v="Full Time"/>
    <x v="0"/>
  </r>
  <r>
    <x v="1"/>
    <s v="Mid level"/>
    <s v="MI"/>
    <s v="Full Time"/>
    <x v="4"/>
  </r>
  <r>
    <x v="1"/>
    <s v="Expert Level"/>
    <s v="EX"/>
    <s v="Full Time"/>
    <x v="5"/>
  </r>
  <r>
    <x v="1"/>
    <s v="Mid level"/>
    <s v="MI"/>
    <s v="Full Time"/>
    <x v="2"/>
  </r>
  <r>
    <x v="1"/>
    <s v="Entry Level"/>
    <s v="EN"/>
    <s v="Full Time"/>
    <x v="3"/>
  </r>
  <r>
    <x v="1"/>
    <s v="Mid level"/>
    <s v="MI"/>
    <s v="Full Time"/>
    <x v="3"/>
  </r>
  <r>
    <x v="1"/>
    <s v="Senior Level"/>
    <s v="SE"/>
    <s v="Full Time"/>
    <x v="5"/>
  </r>
  <r>
    <x v="1"/>
    <s v="Senior Level"/>
    <s v="SE"/>
    <s v="Full Time"/>
    <x v="3"/>
  </r>
  <r>
    <x v="1"/>
    <s v="Senior Level"/>
    <s v="SE"/>
    <s v="Full Time"/>
    <x v="3"/>
  </r>
  <r>
    <x v="1"/>
    <s v="Entry Level"/>
    <s v="EN"/>
    <s v="Full Time"/>
    <x v="3"/>
  </r>
  <r>
    <x v="1"/>
    <s v="Mid level"/>
    <s v="MI"/>
    <s v="Full Time"/>
    <x v="5"/>
  </r>
  <r>
    <x v="1"/>
    <s v="Senior Level"/>
    <s v="SE"/>
    <s v="Full Time"/>
    <x v="5"/>
  </r>
  <r>
    <x v="1"/>
    <s v="Entry Level"/>
    <s v="EN"/>
    <s v="Full Time"/>
    <x v="0"/>
  </r>
  <r>
    <x v="1"/>
    <s v="Mid level"/>
    <s v="MI"/>
    <s v="Full Time"/>
    <x v="2"/>
  </r>
  <r>
    <x v="1"/>
    <s v="Entry Level"/>
    <s v="EN"/>
    <s v="Part Time"/>
    <x v="0"/>
  </r>
  <r>
    <x v="1"/>
    <s v="Mid level"/>
    <s v="MI"/>
    <s v="Full Time"/>
    <x v="3"/>
  </r>
  <r>
    <x v="1"/>
    <s v="Entry Level"/>
    <s v="EN"/>
    <s v="Full Time"/>
    <x v="6"/>
  </r>
  <r>
    <x v="1"/>
    <s v="Mid level"/>
    <s v="MI"/>
    <s v="Full Time"/>
    <x v="6"/>
  </r>
  <r>
    <x v="1"/>
    <s v="Mid level"/>
    <s v="MI"/>
    <s v="Full Time"/>
    <x v="3"/>
  </r>
  <r>
    <x v="1"/>
    <s v="Senior Level"/>
    <s v="SE"/>
    <s v="Full Time"/>
    <x v="2"/>
  </r>
  <r>
    <x v="1"/>
    <s v="Mid level"/>
    <s v="MI"/>
    <s v="Full Time"/>
    <x v="3"/>
  </r>
  <r>
    <x v="1"/>
    <s v="Mid level"/>
    <s v="MI"/>
    <s v="Full Time"/>
    <x v="3"/>
  </r>
  <r>
    <x v="1"/>
    <s v="Mid level"/>
    <s v="MI"/>
    <s v="Full Time"/>
    <x v="0"/>
  </r>
  <r>
    <x v="1"/>
    <s v="Mid level"/>
    <s v="MI"/>
    <s v="Full Time"/>
    <x v="3"/>
  </r>
  <r>
    <x v="1"/>
    <s v="Mid level"/>
    <s v="MI"/>
    <s v="Full Time"/>
    <x v="1"/>
  </r>
  <r>
    <x v="1"/>
    <s v="Senior Level"/>
    <s v="SE"/>
    <s v="Full Time"/>
    <x v="2"/>
  </r>
  <r>
    <x v="1"/>
    <s v="Senior Level"/>
    <s v="SE"/>
    <s v="Full Time"/>
    <x v="2"/>
  </r>
  <r>
    <x v="1"/>
    <s v="Entry Level"/>
    <s v="EN"/>
    <s v="Full Time"/>
    <x v="2"/>
  </r>
  <r>
    <x v="1"/>
    <s v="Senior Level"/>
    <s v="SE"/>
    <s v="Full Time"/>
    <x v="4"/>
  </r>
  <r>
    <x v="1"/>
    <s v="Senior Level"/>
    <s v="SE"/>
    <s v="Full Time"/>
    <x v="5"/>
  </r>
  <r>
    <x v="1"/>
    <s v="Senior Level"/>
    <s v="SE"/>
    <s v="Full Time"/>
    <x v="5"/>
  </r>
  <r>
    <x v="1"/>
    <s v="Entry Level"/>
    <s v="EN"/>
    <s v="Part Time"/>
    <x v="0"/>
  </r>
  <r>
    <x v="1"/>
    <s v="Mid level"/>
    <s v="MI"/>
    <s v="Full Time"/>
    <x v="2"/>
  </r>
  <r>
    <x v="1"/>
    <s v="Entry Level"/>
    <s v="EN"/>
    <s v="Full Time"/>
    <x v="1"/>
  </r>
  <r>
    <x v="1"/>
    <s v="Mid level"/>
    <s v="MI"/>
    <s v="Full Time"/>
    <x v="0"/>
  </r>
  <r>
    <x v="1"/>
    <s v="Mid level"/>
    <s v="MI"/>
    <s v="Full Time"/>
    <x v="2"/>
  </r>
  <r>
    <x v="1"/>
    <s v="Entry Level"/>
    <s v="EN"/>
    <s v="Full Time"/>
    <x v="3"/>
  </r>
  <r>
    <x v="1"/>
    <s v="Mid level"/>
    <s v="MI"/>
    <s v="Full Time"/>
    <x v="2"/>
  </r>
  <r>
    <x v="1"/>
    <s v="Mid level"/>
    <s v="MI"/>
    <s v="Full Time"/>
    <x v="2"/>
  </r>
  <r>
    <x v="1"/>
    <s v="Senior Level"/>
    <s v="SE"/>
    <s v="Full Time"/>
    <x v="2"/>
  </r>
  <r>
    <x v="1"/>
    <s v="Entry Level"/>
    <s v="EN"/>
    <s v="Full Time"/>
    <x v="3"/>
  </r>
  <r>
    <x v="1"/>
    <s v="Entry Level"/>
    <s v="EN"/>
    <s v="Full Time"/>
    <x v="0"/>
  </r>
  <r>
    <x v="1"/>
    <s v="Entry Level"/>
    <s v="EN"/>
    <s v="Part Time"/>
    <x v="3"/>
  </r>
  <r>
    <x v="1"/>
    <s v="Mid level"/>
    <s v="MI"/>
    <s v="Full Time"/>
    <x v="1"/>
  </r>
  <r>
    <x v="1"/>
    <s v="Senior Level"/>
    <s v="SE"/>
    <s v="Full Time"/>
    <x v="1"/>
  </r>
  <r>
    <x v="1"/>
    <s v="Mid level"/>
    <s v="MI"/>
    <s v="Full Time"/>
    <x v="0"/>
  </r>
  <r>
    <x v="1"/>
    <s v="Entry Level"/>
    <s v="EN"/>
    <s v="Full Time"/>
    <x v="4"/>
  </r>
  <r>
    <x v="1"/>
    <s v="Senior Level"/>
    <s v="SE"/>
    <s v="Full Time"/>
    <x v="5"/>
  </r>
  <r>
    <x v="1"/>
    <s v="Entry Level"/>
    <s v="EN"/>
    <s v="Full Time"/>
    <x v="4"/>
  </r>
  <r>
    <x v="1"/>
    <s v="Entry Level"/>
    <s v="EN"/>
    <s v="Full Time"/>
    <x v="0"/>
  </r>
  <r>
    <x v="1"/>
    <s v="Mid level"/>
    <s v="MI"/>
    <s v="Full Time"/>
    <x v="0"/>
  </r>
  <r>
    <x v="1"/>
    <s v="Senior Level"/>
    <s v="SE"/>
    <s v="Full Time"/>
    <x v="2"/>
  </r>
  <r>
    <x v="1"/>
    <s v="Entry Level"/>
    <s v="EN"/>
    <s v="Full Time"/>
    <x v="0"/>
  </r>
  <r>
    <x v="1"/>
    <s v="Mid level"/>
    <s v="MI"/>
    <s v="Full Time"/>
    <x v="3"/>
  </r>
  <r>
    <x v="1"/>
    <s v="Mid level"/>
    <s v="MI"/>
    <s v="Full Time"/>
    <x v="4"/>
  </r>
  <r>
    <x v="1"/>
    <s v="Mid level"/>
    <s v="MI"/>
    <s v="Full Time"/>
    <x v="4"/>
  </r>
  <r>
    <x v="1"/>
    <s v="Senior Level"/>
    <s v="SE"/>
    <s v="Full Time"/>
    <x v="1"/>
  </r>
  <r>
    <x v="1"/>
    <s v="Entry Level"/>
    <s v="EN"/>
    <s v="Full Time"/>
    <x v="0"/>
  </r>
  <r>
    <x v="1"/>
    <s v="Mid level"/>
    <s v="MI"/>
    <s v="Full Time"/>
    <x v="3"/>
  </r>
  <r>
    <x v="1"/>
    <s v="Senior Level"/>
    <s v="SE"/>
    <s v="Full Time"/>
    <x v="5"/>
  </r>
  <r>
    <x v="1"/>
    <s v="Senior Level"/>
    <s v="SE"/>
    <s v="Full Time"/>
    <x v="5"/>
  </r>
  <r>
    <x v="1"/>
    <s v="Mid level"/>
    <s v="MI"/>
    <s v="Full Time"/>
    <x v="0"/>
  </r>
  <r>
    <x v="1"/>
    <s v="Mid level"/>
    <s v="MI"/>
    <s v="Full Time"/>
    <x v="2"/>
  </r>
  <r>
    <x v="1"/>
    <s v="Senior Level"/>
    <s v="SE"/>
    <s v="Full Time"/>
    <x v="4"/>
  </r>
  <r>
    <x v="1"/>
    <s v="Mid level"/>
    <s v="MI"/>
    <s v="Full Time"/>
    <x v="1"/>
  </r>
  <r>
    <x v="1"/>
    <s v="Mid level"/>
    <s v="MI"/>
    <s v="Full Time"/>
    <x v="2"/>
  </r>
  <r>
    <x v="1"/>
    <s v="Senior Level"/>
    <s v="SE"/>
    <s v="Full Time"/>
    <x v="5"/>
  </r>
  <r>
    <x v="1"/>
    <s v="Senior Level"/>
    <s v="SE"/>
    <s v="Full Time"/>
    <x v="2"/>
  </r>
  <r>
    <x v="1"/>
    <s v="Senior Level"/>
    <s v="SE"/>
    <s v="Full Time"/>
    <x v="5"/>
  </r>
  <r>
    <x v="1"/>
    <s v="Mid level"/>
    <s v="MI"/>
    <s v="Full Time"/>
    <x v="0"/>
  </r>
  <r>
    <x v="1"/>
    <s v="Mid level"/>
    <s v="MI"/>
    <s v="Full Time"/>
    <x v="0"/>
  </r>
  <r>
    <x v="1"/>
    <s v="Entry Level"/>
    <s v="EN"/>
    <s v="Full Time"/>
    <x v="0"/>
  </r>
  <r>
    <x v="1"/>
    <s v="Senior Level"/>
    <s v="SE"/>
    <s v="Full Time"/>
    <x v="5"/>
  </r>
  <r>
    <x v="1"/>
    <s v="Senior Level"/>
    <s v="SE"/>
    <s v="Full Time"/>
    <x v="2"/>
  </r>
  <r>
    <x v="1"/>
    <s v="Mid level"/>
    <s v="MI"/>
    <s v="Full Time"/>
    <x v="0"/>
  </r>
  <r>
    <x v="1"/>
    <s v="Mid level"/>
    <s v="MI"/>
    <s v="Full Time"/>
    <x v="0"/>
  </r>
  <r>
    <x v="1"/>
    <s v="Senior Level"/>
    <s v="SE"/>
    <s v="Full Time"/>
    <x v="5"/>
  </r>
  <r>
    <x v="1"/>
    <s v="Entry Level"/>
    <s v="EN"/>
    <s v="Full Time"/>
    <x v="4"/>
  </r>
  <r>
    <x v="1"/>
    <s v="Expert Level"/>
    <s v="EX"/>
    <s v="Full Time"/>
    <x v="5"/>
  </r>
  <r>
    <x v="1"/>
    <s v="Expert Level"/>
    <s v="EX"/>
    <s v="Full Time"/>
    <x v="5"/>
  </r>
  <r>
    <x v="1"/>
    <s v="Mid level"/>
    <s v="MI"/>
    <s v="Full Time"/>
    <x v="2"/>
  </r>
  <r>
    <x v="1"/>
    <s v="Entry Level"/>
    <s v="EN"/>
    <s v="Full Time"/>
    <x v="3"/>
  </r>
  <r>
    <x v="1"/>
    <s v="Expert Level"/>
    <s v="EX"/>
    <s v="Full Time"/>
    <x v="5"/>
  </r>
  <r>
    <x v="1"/>
    <s v="Senior Level"/>
    <s v="SE"/>
    <s v="Full Time"/>
    <x v="3"/>
  </r>
  <r>
    <x v="1"/>
    <s v="Entry Level"/>
    <s v="EN"/>
    <s v="Full Time"/>
    <x v="2"/>
  </r>
  <r>
    <x v="1"/>
    <s v="Expert Level"/>
    <s v="EX"/>
    <s v="Full Time"/>
    <x v="5"/>
  </r>
  <r>
    <x v="1"/>
    <s v="Entry Level"/>
    <s v="EN"/>
    <s v="Full Time"/>
    <x v="3"/>
  </r>
  <r>
    <x v="1"/>
    <s v="Mid level"/>
    <s v="MI"/>
    <s v="Full Time"/>
    <x v="2"/>
  </r>
  <r>
    <x v="1"/>
    <s v="Mid level"/>
    <s v="MI"/>
    <s v="Full Time"/>
    <x v="2"/>
  </r>
  <r>
    <x v="1"/>
    <s v="Mid level"/>
    <s v="MI"/>
    <s v="Full Time"/>
    <x v="2"/>
  </r>
  <r>
    <x v="1"/>
    <s v="Entry Level"/>
    <s v="EN"/>
    <s v="Full Time"/>
    <x v="3"/>
  </r>
  <r>
    <x v="1"/>
    <s v="Senior Level"/>
    <s v="SE"/>
    <s v="Full Time"/>
    <x v="1"/>
  </r>
  <r>
    <x v="1"/>
    <s v="Senior Level"/>
    <s v="SE"/>
    <s v="Full Time"/>
    <x v="1"/>
  </r>
  <r>
    <x v="1"/>
    <s v="Senior Level"/>
    <s v="SE"/>
    <s v="Full Time"/>
    <x v="5"/>
  </r>
  <r>
    <x v="1"/>
    <s v="Mid level"/>
    <s v="MI"/>
    <s v="Full Time"/>
    <x v="0"/>
  </r>
  <r>
    <x v="1"/>
    <s v="Mid level"/>
    <s v="MI"/>
    <s v="Full Time"/>
    <x v="0"/>
  </r>
  <r>
    <x v="1"/>
    <s v="Entry Level"/>
    <s v="EN"/>
    <s v="Full Time"/>
    <x v="4"/>
  </r>
  <r>
    <x v="1"/>
    <s v="Mid level"/>
    <s v="MI"/>
    <s v="Full Time"/>
    <x v="0"/>
  </r>
  <r>
    <x v="1"/>
    <s v="Mid level"/>
    <s v="MI"/>
    <s v="Full Time"/>
    <x v="2"/>
  </r>
  <r>
    <x v="1"/>
    <s v="Mid level"/>
    <s v="MI"/>
    <s v="Full Time"/>
    <x v="0"/>
  </r>
  <r>
    <x v="1"/>
    <s v="Mid level"/>
    <s v="MI"/>
    <s v="Full Time"/>
    <x v="2"/>
  </r>
  <r>
    <x v="1"/>
    <s v="Senior Level"/>
    <s v="SE"/>
    <s v="Full Time"/>
    <x v="3"/>
  </r>
  <r>
    <x v="1"/>
    <s v="Mid level"/>
    <s v="MI"/>
    <s v="Freelance"/>
    <x v="1"/>
  </r>
  <r>
    <x v="1"/>
    <s v="Mid level"/>
    <s v="MI"/>
    <s v="Full Time"/>
    <x v="2"/>
  </r>
  <r>
    <x v="1"/>
    <s v="Senior Level"/>
    <s v="SE"/>
    <s v="Full Time"/>
    <x v="3"/>
  </r>
  <r>
    <x v="1"/>
    <s v="Expert Level"/>
    <s v="EX"/>
    <s v="Full Time"/>
    <x v="3"/>
  </r>
  <r>
    <x v="1"/>
    <s v="Senior Level"/>
    <s v="SE"/>
    <s v="Full Time"/>
    <x v="2"/>
  </r>
  <r>
    <x v="1"/>
    <s v="Mid level"/>
    <s v="MI"/>
    <s v="Full Time"/>
    <x v="4"/>
  </r>
  <r>
    <x v="1"/>
    <s v="Senior Level"/>
    <s v="SE"/>
    <s v="Full Time"/>
    <x v="5"/>
  </r>
  <r>
    <x v="1"/>
    <s v="Entry Level"/>
    <s v="EN"/>
    <s v="Full Time"/>
    <x v="4"/>
  </r>
  <r>
    <x v="1"/>
    <s v="Mid level"/>
    <s v="MI"/>
    <s v="Full Time"/>
    <x v="2"/>
  </r>
  <r>
    <x v="1"/>
    <s v="Senior Level"/>
    <s v="SE"/>
    <s v="Full Time"/>
    <x v="5"/>
  </r>
  <r>
    <x v="1"/>
    <s v="Senior Level"/>
    <s v="SE"/>
    <s v="Full Time"/>
    <x v="1"/>
  </r>
  <r>
    <x v="1"/>
    <s v="Mid level"/>
    <s v="MI"/>
    <s v="Full Time"/>
    <x v="0"/>
  </r>
  <r>
    <x v="1"/>
    <s v="Entry Level"/>
    <s v="EN"/>
    <s v="Full Time"/>
    <x v="3"/>
  </r>
  <r>
    <x v="1"/>
    <s v="Senior Level"/>
    <s v="SE"/>
    <s v="Full Time"/>
    <x v="4"/>
  </r>
  <r>
    <x v="1"/>
    <s v="Senior Level"/>
    <s v="SE"/>
    <s v="Full Time"/>
    <x v="5"/>
  </r>
  <r>
    <x v="1"/>
    <s v="Entry Level"/>
    <s v="EN"/>
    <s v="Full Time"/>
    <x v="3"/>
  </r>
  <r>
    <x v="1"/>
    <s v="Mid level"/>
    <s v="MI"/>
    <s v="Full Time"/>
    <x v="0"/>
  </r>
  <r>
    <x v="1"/>
    <s v="Senior Level"/>
    <s v="SE"/>
    <s v="Full Time"/>
    <x v="4"/>
  </r>
  <r>
    <x v="1"/>
    <s v="Mid level"/>
    <s v="MI"/>
    <s v="Full Time"/>
    <x v="0"/>
  </r>
  <r>
    <x v="1"/>
    <s v="Senior Level"/>
    <s v="SE"/>
    <s v="Full Time"/>
    <x v="1"/>
  </r>
  <r>
    <x v="1"/>
    <s v="Mid level"/>
    <s v="MI"/>
    <s v="Full Time"/>
    <x v="0"/>
  </r>
  <r>
    <x v="1"/>
    <s v="Mid level"/>
    <s v="MI"/>
    <s v="Full Time"/>
    <x v="0"/>
  </r>
  <r>
    <x v="1"/>
    <s v="Senior Level"/>
    <s v="SE"/>
    <s v="Full Time"/>
    <x v="4"/>
  </r>
  <r>
    <x v="1"/>
    <s v="Senior Level"/>
    <s v="SE"/>
    <s v="Full Time"/>
    <x v="2"/>
  </r>
  <r>
    <x v="1"/>
    <s v="Mid level"/>
    <s v="MI"/>
    <s v="Freelance"/>
    <x v="2"/>
  </r>
  <r>
    <x v="1"/>
    <s v="Senior Level"/>
    <s v="SE"/>
    <s v="Full Time"/>
    <x v="5"/>
  </r>
  <r>
    <x v="1"/>
    <s v="Mid level"/>
    <s v="MI"/>
    <s v="Full Time"/>
    <x v="4"/>
  </r>
  <r>
    <x v="1"/>
    <s v="Mid level"/>
    <s v="MI"/>
    <s v="Full Time"/>
    <x v="1"/>
  </r>
  <r>
    <x v="1"/>
    <s v="Mid level"/>
    <s v="MI"/>
    <s v="Full Time"/>
    <x v="2"/>
  </r>
  <r>
    <x v="1"/>
    <s v="Entry Level"/>
    <s v="EN"/>
    <s v="Full Time"/>
    <x v="2"/>
  </r>
  <r>
    <x v="1"/>
    <s v="Entry Level"/>
    <s v="EN"/>
    <s v="Full Time"/>
    <x v="4"/>
  </r>
  <r>
    <x v="1"/>
    <s v="Senior Level"/>
    <s v="SE"/>
    <s v="Full Time"/>
    <x v="2"/>
  </r>
  <r>
    <x v="1"/>
    <s v="Entry Level"/>
    <s v="EN"/>
    <s v="Part Time"/>
    <x v="2"/>
  </r>
  <r>
    <x v="1"/>
    <s v="Mid level"/>
    <s v="MI"/>
    <s v="Full Time"/>
    <x v="0"/>
  </r>
  <r>
    <x v="1"/>
    <s v="Mid level"/>
    <s v="MI"/>
    <s v="Full Time"/>
    <x v="4"/>
  </r>
  <r>
    <x v="1"/>
    <s v="Senior Level"/>
    <s v="SE"/>
    <s v="Full Time"/>
    <x v="5"/>
  </r>
  <r>
    <x v="1"/>
    <s v="Mid level"/>
    <s v="MI"/>
    <s v="Full Time"/>
    <x v="4"/>
  </r>
  <r>
    <x v="1"/>
    <s v="Mid level"/>
    <s v="MI"/>
    <s v="Full Time"/>
    <x v="0"/>
  </r>
  <r>
    <x v="1"/>
    <s v="Mid level"/>
    <s v="MI"/>
    <s v="Full Time"/>
    <x v="0"/>
  </r>
  <r>
    <x v="1"/>
    <s v="Mid level"/>
    <s v="MI"/>
    <s v="Full Time"/>
    <x v="0"/>
  </r>
  <r>
    <x v="1"/>
    <s v="Senior Level"/>
    <s v="SE"/>
    <s v="Full Time"/>
    <x v="1"/>
  </r>
  <r>
    <x v="1"/>
    <s v="Expert Level"/>
    <s v="EX"/>
    <s v="Contract"/>
    <x v="1"/>
  </r>
  <r>
    <x v="1"/>
    <s v="Senior Level"/>
    <s v="SE"/>
    <s v="Full Time"/>
    <x v="0"/>
  </r>
  <r>
    <x v="1"/>
    <s v="Mid level"/>
    <s v="MI"/>
    <s v="Full Time"/>
    <x v="0"/>
  </r>
  <r>
    <x v="1"/>
    <s v="Senior Level"/>
    <s v="SE"/>
    <s v="Full Time"/>
    <x v="0"/>
  </r>
  <r>
    <x v="1"/>
    <s v="Senior Level"/>
    <s v="SE"/>
    <s v="Full Time"/>
    <x v="3"/>
  </r>
  <r>
    <x v="1"/>
    <s v="Entry Level"/>
    <s v="EN"/>
    <s v="Full Time"/>
    <x v="2"/>
  </r>
  <r>
    <x v="1"/>
    <s v="Senior Level"/>
    <s v="SE"/>
    <s v="Full Time"/>
    <x v="4"/>
  </r>
  <r>
    <x v="1"/>
    <s v="Senior Level"/>
    <s v="SE"/>
    <s v="Full Time"/>
    <x v="5"/>
  </r>
  <r>
    <x v="1"/>
    <s v="Senior Level"/>
    <s v="SE"/>
    <s v="Full Time"/>
    <x v="3"/>
  </r>
  <r>
    <x v="1"/>
    <s v="Mid level"/>
    <s v="MI"/>
    <s v="Full Time"/>
    <x v="2"/>
  </r>
  <r>
    <x v="1"/>
    <s v="Mid level"/>
    <s v="MI"/>
    <s v="Full Time"/>
    <x v="5"/>
  </r>
  <r>
    <x v="1"/>
    <s v="Mid level"/>
    <s v="MI"/>
    <s v="Full Time"/>
    <x v="1"/>
  </r>
  <r>
    <x v="1"/>
    <s v="Mid level"/>
    <s v="MI"/>
    <s v="Full Time"/>
    <x v="0"/>
  </r>
  <r>
    <x v="1"/>
    <s v="Entry Level"/>
    <s v="EN"/>
    <s v="Full Time"/>
    <x v="0"/>
  </r>
  <r>
    <x v="1"/>
    <s v="Entry Level"/>
    <s v="EN"/>
    <s v="Full Time"/>
    <x v="2"/>
  </r>
  <r>
    <x v="1"/>
    <s v="Senior Level"/>
    <s v="SE"/>
    <s v="Full Time"/>
    <x v="0"/>
  </r>
  <r>
    <x v="1"/>
    <s v="Mid level"/>
    <s v="MI"/>
    <s v="Full Time"/>
    <x v="3"/>
  </r>
  <r>
    <x v="1"/>
    <s v="Mid level"/>
    <s v="MI"/>
    <s v="Full Time"/>
    <x v="2"/>
  </r>
  <r>
    <x v="1"/>
    <s v="Senior Level"/>
    <s v="SE"/>
    <s v="Full Time"/>
    <x v="0"/>
  </r>
  <r>
    <x v="1"/>
    <s v="Entry Level"/>
    <s v="EN"/>
    <s v="Full Time"/>
    <x v="0"/>
  </r>
  <r>
    <x v="1"/>
    <s v="Mid level"/>
    <s v="MI"/>
    <s v="Full Time"/>
    <x v="2"/>
  </r>
  <r>
    <x v="1"/>
    <s v="Entry Level"/>
    <s v="EN"/>
    <s v="Full Time"/>
    <x v="0"/>
  </r>
  <r>
    <x v="1"/>
    <s v="Mid level"/>
    <s v="MI"/>
    <s v="Full Time"/>
    <x v="2"/>
  </r>
  <r>
    <x v="1"/>
    <s v="Senior Level"/>
    <s v="SE"/>
    <s v="Full Time"/>
    <x v="2"/>
  </r>
  <r>
    <x v="1"/>
    <s v="Senior Level"/>
    <s v="SE"/>
    <s v="Full Time"/>
    <x v="3"/>
  </r>
  <r>
    <x v="1"/>
    <s v="Mid level"/>
    <s v="MI"/>
    <s v="Full Time"/>
    <x v="0"/>
  </r>
  <r>
    <x v="1"/>
    <s v="Entry Level"/>
    <s v="EN"/>
    <s v="Full Time"/>
    <x v="0"/>
  </r>
  <r>
    <x v="1"/>
    <s v="Expert Level"/>
    <s v="EX"/>
    <s v="Full Time"/>
    <x v="2"/>
  </r>
  <r>
    <x v="1"/>
    <s v="Entry Level"/>
    <s v="EN"/>
    <s v="Full Time"/>
    <x v="0"/>
  </r>
  <r>
    <x v="1"/>
    <s v="Mid level"/>
    <s v="MI"/>
    <s v="Full Time"/>
    <x v="3"/>
  </r>
  <r>
    <x v="1"/>
    <s v="Senior Level"/>
    <s v="SE"/>
    <s v="Full Time"/>
    <x v="2"/>
  </r>
  <r>
    <x v="1"/>
    <s v="Mid level"/>
    <s v="MI"/>
    <s v="Full Time"/>
    <x v="2"/>
  </r>
  <r>
    <x v="1"/>
    <s v="Senior Level"/>
    <s v="SE"/>
    <s v="Full Time"/>
    <x v="1"/>
  </r>
  <r>
    <x v="1"/>
    <s v="Senior Level"/>
    <s v="SE"/>
    <s v="Full Time"/>
    <x v="4"/>
  </r>
  <r>
    <x v="1"/>
    <s v="Expert Level"/>
    <s v="EX"/>
    <s v="Full Time"/>
    <x v="5"/>
  </r>
  <r>
    <x v="1"/>
    <s v="Mid level"/>
    <s v="MI"/>
    <s v="Full Time"/>
    <x v="0"/>
  </r>
  <r>
    <x v="1"/>
    <s v="Senior Level"/>
    <s v="SE"/>
    <s v="Full Time"/>
    <x v="3"/>
  </r>
  <r>
    <x v="1"/>
    <s v="Mid level"/>
    <s v="MI"/>
    <s v="Full Time"/>
    <x v="0"/>
  </r>
  <r>
    <x v="1"/>
    <s v="Senior Level"/>
    <s v="SE"/>
    <s v="Full Time"/>
    <x v="4"/>
  </r>
  <r>
    <x v="1"/>
    <s v="Mid level"/>
    <s v="MI"/>
    <s v="Full Time"/>
    <x v="0"/>
  </r>
  <r>
    <x v="1"/>
    <s v="Senior Level"/>
    <s v="SE"/>
    <s v="Full Time"/>
    <x v="5"/>
  </r>
  <r>
    <x v="1"/>
    <s v="Mid level"/>
    <s v="MI"/>
    <s v="Full Time"/>
    <x v="2"/>
  </r>
  <r>
    <x v="1"/>
    <s v="Mid level"/>
    <s v="MI"/>
    <s v="Full Time"/>
    <x v="2"/>
  </r>
  <r>
    <x v="1"/>
    <s v="Mid level"/>
    <s v="MI"/>
    <s v="Full Time"/>
    <x v="2"/>
  </r>
  <r>
    <x v="1"/>
    <s v="Entry Level"/>
    <s v="EN"/>
    <s v="Full Time"/>
    <x v="2"/>
  </r>
  <r>
    <x v="1"/>
    <s v="Entry Level"/>
    <s v="EN"/>
    <s v="Full Time"/>
    <x v="2"/>
  </r>
  <r>
    <x v="1"/>
    <s v="Senior Level"/>
    <s v="SE"/>
    <s v="Full Time"/>
    <x v="2"/>
  </r>
  <r>
    <x v="1"/>
    <s v="Entry Level"/>
    <s v="EN"/>
    <s v="Full Time"/>
    <x v="3"/>
  </r>
  <r>
    <x v="1"/>
    <s v="Entry Level"/>
    <s v="EN"/>
    <s v="Full Time"/>
    <x v="4"/>
  </r>
  <r>
    <x v="1"/>
    <s v="Senior Level"/>
    <s v="SE"/>
    <s v="Full Time"/>
    <x v="0"/>
  </r>
  <r>
    <x v="1"/>
    <s v="Entry Level"/>
    <s v="EN"/>
    <s v="Full Time"/>
    <x v="0"/>
  </r>
  <r>
    <x v="1"/>
    <s v="Entry Level"/>
    <s v="EN"/>
    <s v="Full Time"/>
    <x v="0"/>
  </r>
  <r>
    <x v="1"/>
    <s v="Senior Level"/>
    <s v="SE"/>
    <s v="Full Time"/>
    <x v="0"/>
  </r>
  <r>
    <x v="1"/>
    <s v="Senior Level"/>
    <s v="SE"/>
    <s v="Full Time"/>
    <x v="0"/>
  </r>
  <r>
    <x v="1"/>
    <s v="Entry Level"/>
    <s v="EN"/>
    <s v="Full Time"/>
    <x v="3"/>
  </r>
  <r>
    <x v="1"/>
    <s v="Mid level"/>
    <s v="MI"/>
    <s v="Full Time"/>
    <x v="2"/>
  </r>
  <r>
    <x v="1"/>
    <s v="Entry Level"/>
    <s v="EN"/>
    <s v="Full Time"/>
    <x v="1"/>
  </r>
  <r>
    <x v="1"/>
    <s v="Mid level"/>
    <s v="MI"/>
    <s v="Part Time"/>
    <x v="2"/>
  </r>
  <r>
    <x v="1"/>
    <s v="Senior Level"/>
    <s v="SE"/>
    <s v="Contract"/>
    <x v="1"/>
  </r>
  <r>
    <x v="1"/>
    <s v="Mid level"/>
    <s v="MI"/>
    <s v="Full Time"/>
    <x v="1"/>
  </r>
  <r>
    <x v="1"/>
    <s v="Senior Level"/>
    <s v="SE"/>
    <s v="Full Time"/>
    <x v="5"/>
  </r>
  <r>
    <x v="1"/>
    <s v="Senior Level"/>
    <s v="SE"/>
    <s v="Full Time"/>
    <x v="5"/>
  </r>
  <r>
    <x v="1"/>
    <s v="Mid level"/>
    <s v="MI"/>
    <s v="Full Time"/>
    <x v="0"/>
  </r>
  <r>
    <x v="1"/>
    <s v="Mid level"/>
    <s v="MI"/>
    <s v="Full Time"/>
    <x v="4"/>
  </r>
  <r>
    <x v="2"/>
    <s v="Senior Level"/>
    <s v="SE"/>
    <s v="Full Time"/>
    <x v="2"/>
  </r>
  <r>
    <x v="2"/>
    <s v="Senior Level"/>
    <s v="SE"/>
    <s v="Full Time"/>
    <x v="3"/>
  </r>
  <r>
    <x v="2"/>
    <s v="Senior Level"/>
    <s v="SE"/>
    <s v="Full Time"/>
    <x v="3"/>
  </r>
  <r>
    <x v="2"/>
    <s v="Mid level"/>
    <s v="MI"/>
    <s v="Full Time"/>
    <x v="0"/>
  </r>
  <r>
    <x v="2"/>
    <s v="Mid level"/>
    <s v="MI"/>
    <s v="Full Time"/>
    <x v="0"/>
  </r>
  <r>
    <x v="2"/>
    <s v="Mid level"/>
    <s v="MI"/>
    <s v="Full Time"/>
    <x v="2"/>
  </r>
  <r>
    <x v="2"/>
    <s v="Mid level"/>
    <s v="MI"/>
    <s v="Full Time"/>
    <x v="2"/>
  </r>
  <r>
    <x v="2"/>
    <s v="Senior Level"/>
    <s v="SE"/>
    <s v="Full Time"/>
    <x v="3"/>
  </r>
  <r>
    <x v="2"/>
    <s v="Senior Level"/>
    <s v="SE"/>
    <s v="Full Time"/>
    <x v="3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0"/>
  </r>
  <r>
    <x v="2"/>
    <s v="Entry Level"/>
    <s v="EN"/>
    <s v="Full Time"/>
    <x v="2"/>
  </r>
  <r>
    <x v="2"/>
    <s v="Senior Level"/>
    <s v="SE"/>
    <s v="Full Time"/>
    <x v="3"/>
  </r>
  <r>
    <x v="2"/>
    <s v="Senior Level"/>
    <s v="SE"/>
    <s v="Full Time"/>
    <x v="3"/>
  </r>
  <r>
    <x v="2"/>
    <s v="Mid level"/>
    <s v="MI"/>
    <s v="Full Time"/>
    <x v="3"/>
  </r>
  <r>
    <x v="2"/>
    <s v="Mid level"/>
    <s v="MI"/>
    <s v="Full Time"/>
    <x v="3"/>
  </r>
  <r>
    <x v="2"/>
    <s v="Expert Level"/>
    <s v="EX"/>
    <s v="Full Time"/>
    <x v="2"/>
  </r>
  <r>
    <x v="2"/>
    <s v="Expert Level"/>
    <s v="EX"/>
    <s v="Full Time"/>
    <x v="2"/>
  </r>
  <r>
    <x v="2"/>
    <s v="Mid level"/>
    <s v="MI"/>
    <s v="Full Time"/>
    <x v="0"/>
  </r>
  <r>
    <x v="2"/>
    <s v="Mid level"/>
    <s v="MI"/>
    <s v="Full Time"/>
    <x v="0"/>
  </r>
  <r>
    <x v="2"/>
    <s v="Mid level"/>
    <s v="MI"/>
    <s v="Full Time"/>
    <x v="2"/>
  </r>
  <r>
    <x v="2"/>
    <s v="Mid level"/>
    <s v="MI"/>
    <s v="Full Time"/>
    <x v="2"/>
  </r>
  <r>
    <x v="2"/>
    <s v="Senior Level"/>
    <s v="SE"/>
    <s v="Full Time"/>
    <x v="0"/>
  </r>
  <r>
    <x v="2"/>
    <s v="Entry Level"/>
    <s v="EN"/>
    <s v="Full Time"/>
    <x v="2"/>
  </r>
  <r>
    <x v="2"/>
    <s v="Senior Level"/>
    <s v="SE"/>
    <s v="Full Time"/>
    <x v="0"/>
  </r>
  <r>
    <x v="2"/>
    <s v="Senior Level"/>
    <s v="SE"/>
    <s v="Full Time"/>
    <x v="3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3"/>
  </r>
  <r>
    <x v="2"/>
    <s v="Expert Level"/>
    <s v="EX"/>
    <s v="Full Time"/>
    <x v="3"/>
  </r>
  <r>
    <x v="2"/>
    <s v="Expert Level"/>
    <s v="EX"/>
    <s v="Full Time"/>
    <x v="3"/>
  </r>
  <r>
    <x v="2"/>
    <s v="Senior Level"/>
    <s v="SE"/>
    <s v="Full Time"/>
    <x v="3"/>
  </r>
  <r>
    <x v="2"/>
    <s v="Mid level"/>
    <s v="MI"/>
    <s v="Full Time"/>
    <x v="3"/>
  </r>
  <r>
    <x v="2"/>
    <s v="Senior Level"/>
    <s v="SE"/>
    <s v="Full Time"/>
    <x v="3"/>
  </r>
  <r>
    <x v="2"/>
    <s v="Senior Level"/>
    <s v="SE"/>
    <s v="Full Time"/>
    <x v="3"/>
  </r>
  <r>
    <x v="2"/>
    <s v="Senior Level"/>
    <s v="SE"/>
    <s v="Full Time"/>
    <x v="3"/>
  </r>
  <r>
    <x v="2"/>
    <s v="Senior Level"/>
    <s v="SE"/>
    <s v="Full Time"/>
    <x v="3"/>
  </r>
  <r>
    <x v="2"/>
    <s v="Senior Level"/>
    <s v="SE"/>
    <s v="Full Time"/>
    <x v="2"/>
  </r>
  <r>
    <x v="2"/>
    <s v="Senior Level"/>
    <s v="SE"/>
    <s v="Full Time"/>
    <x v="2"/>
  </r>
  <r>
    <x v="2"/>
    <s v="Mid level"/>
    <s v="MI"/>
    <s v="Full Time"/>
    <x v="3"/>
  </r>
  <r>
    <x v="2"/>
    <s v="Senior Level"/>
    <s v="SE"/>
    <s v="Full Time"/>
    <x v="2"/>
  </r>
  <r>
    <x v="2"/>
    <s v="Senior Level"/>
    <s v="SE"/>
    <s v="Full Time"/>
    <x v="3"/>
  </r>
  <r>
    <x v="2"/>
    <s v="Senior Level"/>
    <s v="SE"/>
    <s v="Full Time"/>
    <x v="3"/>
  </r>
  <r>
    <x v="2"/>
    <s v="Senior Level"/>
    <s v="SE"/>
    <s v="Full Time"/>
    <x v="2"/>
  </r>
  <r>
    <x v="2"/>
    <s v="Senior Level"/>
    <s v="SE"/>
    <s v="Full Time"/>
    <x v="2"/>
  </r>
  <r>
    <x v="2"/>
    <s v="Expert Level"/>
    <s v="EX"/>
    <s v="Full Time"/>
    <x v="5"/>
  </r>
  <r>
    <x v="2"/>
    <s v="Expert Level"/>
    <s v="EX"/>
    <s v="Full Time"/>
    <x v="5"/>
  </r>
  <r>
    <x v="2"/>
    <s v="Expert Level"/>
    <s v="EX"/>
    <s v="Full Time"/>
    <x v="2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0"/>
  </r>
  <r>
    <x v="2"/>
    <s v="Senior Level"/>
    <s v="SE"/>
    <s v="Full Time"/>
    <x v="2"/>
  </r>
  <r>
    <x v="2"/>
    <s v="Senior Level"/>
    <s v="SE"/>
    <s v="Full Time"/>
    <x v="3"/>
  </r>
  <r>
    <x v="2"/>
    <s v="Senior Level"/>
    <s v="SE"/>
    <s v="Full Time"/>
    <x v="5"/>
  </r>
  <r>
    <x v="2"/>
    <s v="Senior Level"/>
    <s v="SE"/>
    <s v="Full Time"/>
    <x v="5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3"/>
  </r>
  <r>
    <x v="2"/>
    <s v="Senior Level"/>
    <s v="SE"/>
    <s v="Full Time"/>
    <x v="3"/>
  </r>
  <r>
    <x v="2"/>
    <s v="Senior Level"/>
    <s v="SE"/>
    <s v="Full Time"/>
    <x v="3"/>
  </r>
  <r>
    <x v="2"/>
    <s v="Senior Level"/>
    <s v="SE"/>
    <s v="Full Time"/>
    <x v="3"/>
  </r>
  <r>
    <x v="2"/>
    <s v="Senior Level"/>
    <s v="SE"/>
    <s v="Full Time"/>
    <x v="2"/>
  </r>
  <r>
    <x v="2"/>
    <s v="Senior Level"/>
    <s v="SE"/>
    <s v="Full Time"/>
    <x v="0"/>
  </r>
  <r>
    <x v="2"/>
    <s v="Senior Level"/>
    <s v="SE"/>
    <s v="Full Time"/>
    <x v="2"/>
  </r>
  <r>
    <x v="2"/>
    <s v="Mid level"/>
    <s v="MI"/>
    <s v="Full Time"/>
    <x v="3"/>
  </r>
  <r>
    <x v="2"/>
    <s v="Expert Level"/>
    <s v="EX"/>
    <s v="Full Time"/>
    <x v="2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4"/>
  </r>
  <r>
    <x v="2"/>
    <s v="Senior Level"/>
    <s v="SE"/>
    <s v="Full Time"/>
    <x v="4"/>
  </r>
  <r>
    <x v="2"/>
    <s v="Mid level"/>
    <s v="MI"/>
    <s v="Full Time"/>
    <x v="2"/>
  </r>
  <r>
    <x v="2"/>
    <s v="Mid level"/>
    <s v="MI"/>
    <s v="Full Time"/>
    <x v="2"/>
  </r>
  <r>
    <x v="2"/>
    <s v="Expert Level"/>
    <s v="EX"/>
    <s v="Full Time"/>
    <x v="5"/>
  </r>
  <r>
    <x v="2"/>
    <s v="Senior Level"/>
    <s v="SE"/>
    <s v="Full Time"/>
    <x v="3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3"/>
  </r>
  <r>
    <x v="2"/>
    <s v="Senior Level"/>
    <s v="SE"/>
    <s v="Full Time"/>
    <x v="3"/>
  </r>
  <r>
    <x v="2"/>
    <s v="Expert Level"/>
    <s v="EX"/>
    <s v="Full Time"/>
    <x v="5"/>
  </r>
  <r>
    <x v="2"/>
    <s v="Senior Level"/>
    <s v="SE"/>
    <s v="Full Time"/>
    <x v="2"/>
  </r>
  <r>
    <x v="2"/>
    <s v="Entry Level"/>
    <s v="EN"/>
    <s v="Full Time"/>
    <x v="4"/>
  </r>
  <r>
    <x v="2"/>
    <s v="Senior Level"/>
    <s v="SE"/>
    <s v="Full Time"/>
    <x v="3"/>
  </r>
  <r>
    <x v="2"/>
    <s v="Senior Level"/>
    <s v="SE"/>
    <s v="Full Time"/>
    <x v="2"/>
  </r>
  <r>
    <x v="2"/>
    <s v="Mid level"/>
    <s v="MI"/>
    <s v="Full Time"/>
    <x v="4"/>
  </r>
  <r>
    <x v="2"/>
    <s v="Mid level"/>
    <s v="MI"/>
    <s v="Full Time"/>
    <x v="4"/>
  </r>
  <r>
    <x v="2"/>
    <s v="Mid level"/>
    <s v="MI"/>
    <s v="Full Time"/>
    <x v="0"/>
  </r>
  <r>
    <x v="2"/>
    <s v="Senior Level"/>
    <s v="SE"/>
    <s v="Full Time"/>
    <x v="3"/>
  </r>
  <r>
    <x v="2"/>
    <s v="Senior Level"/>
    <s v="SE"/>
    <s v="Full Time"/>
    <x v="3"/>
  </r>
  <r>
    <x v="2"/>
    <s v="Senior Level"/>
    <s v="SE"/>
    <s v="Full Time"/>
    <x v="5"/>
  </r>
  <r>
    <x v="2"/>
    <s v="Senior Level"/>
    <s v="SE"/>
    <s v="Full Time"/>
    <x v="5"/>
  </r>
  <r>
    <x v="2"/>
    <s v="Mid level"/>
    <s v="MI"/>
    <s v="Full Time"/>
    <x v="4"/>
  </r>
  <r>
    <x v="2"/>
    <s v="Mid level"/>
    <s v="MI"/>
    <s v="Full Time"/>
    <x v="2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3"/>
  </r>
  <r>
    <x v="2"/>
    <s v="Senior Level"/>
    <s v="SE"/>
    <s v="Full Time"/>
    <x v="3"/>
  </r>
  <r>
    <x v="2"/>
    <s v="Senior Level"/>
    <s v="SE"/>
    <s v="Full Time"/>
    <x v="2"/>
  </r>
  <r>
    <x v="2"/>
    <s v="Mid level"/>
    <s v="MI"/>
    <s v="Full Time"/>
    <x v="2"/>
  </r>
  <r>
    <x v="2"/>
    <s v="Mid level"/>
    <s v="MI"/>
    <s v="Full Time"/>
    <x v="3"/>
  </r>
  <r>
    <x v="2"/>
    <s v="Senior Level"/>
    <s v="SE"/>
    <s v="Full Time"/>
    <x v="2"/>
  </r>
  <r>
    <x v="2"/>
    <s v="Mid level"/>
    <s v="MI"/>
    <s v="Full Time"/>
    <x v="3"/>
  </r>
  <r>
    <x v="2"/>
    <s v="Senior Level"/>
    <s v="SE"/>
    <s v="Full Time"/>
    <x v="0"/>
  </r>
  <r>
    <x v="2"/>
    <s v="Mid level"/>
    <s v="MI"/>
    <s v="Full Time"/>
    <x v="0"/>
  </r>
  <r>
    <x v="2"/>
    <s v="Mid level"/>
    <s v="MI"/>
    <s v="Full Time"/>
    <x v="0"/>
  </r>
  <r>
    <x v="2"/>
    <s v="Mid level"/>
    <s v="MI"/>
    <s v="Full Time"/>
    <x v="2"/>
  </r>
  <r>
    <x v="2"/>
    <s v="Mid level"/>
    <s v="MI"/>
    <s v="Full Time"/>
    <x v="2"/>
  </r>
  <r>
    <x v="2"/>
    <s v="Mid level"/>
    <s v="MI"/>
    <s v="Full Time"/>
    <x v="2"/>
  </r>
  <r>
    <x v="2"/>
    <s v="Mid level"/>
    <s v="MI"/>
    <s v="Full Time"/>
    <x v="2"/>
  </r>
  <r>
    <x v="2"/>
    <s v="Senior Level"/>
    <s v="SE"/>
    <s v="Full Time"/>
    <x v="0"/>
  </r>
  <r>
    <x v="2"/>
    <s v="Senior Level"/>
    <s v="SE"/>
    <s v="Full Time"/>
    <x v="2"/>
  </r>
  <r>
    <x v="2"/>
    <s v="Mid level"/>
    <s v="MI"/>
    <s v="Full Time"/>
    <x v="2"/>
  </r>
  <r>
    <x v="2"/>
    <s v="Mid level"/>
    <s v="MI"/>
    <s v="Full Time"/>
    <x v="1"/>
  </r>
  <r>
    <x v="2"/>
    <s v="Mid level"/>
    <s v="MI"/>
    <s v="Full Time"/>
    <x v="1"/>
  </r>
  <r>
    <x v="2"/>
    <s v="Mid level"/>
    <s v="MI"/>
    <s v="Full Time"/>
    <x v="5"/>
  </r>
  <r>
    <x v="2"/>
    <s v="Mid level"/>
    <s v="MI"/>
    <s v="Full Time"/>
    <x v="5"/>
  </r>
  <r>
    <x v="2"/>
    <s v="Senior Level"/>
    <s v="SE"/>
    <s v="Full Time"/>
    <x v="0"/>
  </r>
  <r>
    <x v="2"/>
    <s v="Senior Level"/>
    <s v="SE"/>
    <s v="Full Time"/>
    <x v="0"/>
  </r>
  <r>
    <x v="2"/>
    <s v="Mid level"/>
    <s v="MI"/>
    <s v="Full Time"/>
    <x v="2"/>
  </r>
  <r>
    <x v="2"/>
    <s v="Senior Level"/>
    <s v="SE"/>
    <s v="Full Time"/>
    <x v="2"/>
  </r>
  <r>
    <x v="2"/>
    <s v="Mid level"/>
    <s v="MI"/>
    <s v="Full Time"/>
    <x v="2"/>
  </r>
  <r>
    <x v="2"/>
    <s v="Senior Level"/>
    <s v="SE"/>
    <s v="Full Time"/>
    <x v="0"/>
  </r>
  <r>
    <x v="2"/>
    <s v="Mid level"/>
    <s v="MI"/>
    <s v="Full Time"/>
    <x v="3"/>
  </r>
  <r>
    <x v="2"/>
    <s v="Mid level"/>
    <s v="MI"/>
    <s v="Full Time"/>
    <x v="3"/>
  </r>
  <r>
    <x v="2"/>
    <s v="Mid level"/>
    <s v="MI"/>
    <s v="Full Time"/>
    <x v="3"/>
  </r>
  <r>
    <x v="2"/>
    <s v="Mid level"/>
    <s v="MI"/>
    <s v="Full Time"/>
    <x v="2"/>
  </r>
  <r>
    <x v="2"/>
    <s v="Mid level"/>
    <s v="MI"/>
    <s v="Full Time"/>
    <x v="2"/>
  </r>
  <r>
    <x v="2"/>
    <s v="Mid level"/>
    <s v="MI"/>
    <s v="Full Time"/>
    <x v="2"/>
  </r>
  <r>
    <x v="2"/>
    <s v="Mid level"/>
    <s v="MI"/>
    <s v="Full Time"/>
    <x v="2"/>
  </r>
  <r>
    <x v="2"/>
    <s v="Mid level"/>
    <s v="MI"/>
    <s v="Full Time"/>
    <x v="2"/>
  </r>
  <r>
    <x v="2"/>
    <s v="Mid level"/>
    <s v="MI"/>
    <s v="Full Time"/>
    <x v="2"/>
  </r>
  <r>
    <x v="2"/>
    <s v="Senior Level"/>
    <s v="SE"/>
    <s v="Full Time"/>
    <x v="4"/>
  </r>
  <r>
    <x v="2"/>
    <s v="Senior Level"/>
    <s v="SE"/>
    <s v="Full Time"/>
    <x v="4"/>
  </r>
  <r>
    <x v="2"/>
    <s v="Mid level"/>
    <s v="MI"/>
    <s v="Full Time"/>
    <x v="3"/>
  </r>
  <r>
    <x v="2"/>
    <s v="Mid level"/>
    <s v="MI"/>
    <s v="Full Time"/>
    <x v="3"/>
  </r>
  <r>
    <x v="2"/>
    <s v="Mid level"/>
    <s v="MI"/>
    <s v="Full Time"/>
    <x v="2"/>
  </r>
  <r>
    <x v="2"/>
    <s v="Mid level"/>
    <s v="MI"/>
    <s v="Full Time"/>
    <x v="2"/>
  </r>
  <r>
    <x v="2"/>
    <s v="Senior Level"/>
    <s v="SE"/>
    <s v="Full Time"/>
    <x v="0"/>
  </r>
  <r>
    <x v="2"/>
    <s v="Mid level"/>
    <s v="MI"/>
    <s v="Full Time"/>
    <x v="2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2"/>
  </r>
  <r>
    <x v="2"/>
    <s v="Entry Level"/>
    <s v="EN"/>
    <s v="Full Time"/>
    <x v="4"/>
  </r>
  <r>
    <x v="2"/>
    <s v="Senior Level"/>
    <s v="SE"/>
    <s v="Full Time"/>
    <x v="2"/>
  </r>
  <r>
    <x v="2"/>
    <s v="Mid level"/>
    <s v="MI"/>
    <s v="Full Time"/>
    <x v="4"/>
  </r>
  <r>
    <x v="2"/>
    <s v="Expert Level"/>
    <s v="EX"/>
    <s v="Full Time"/>
    <x v="5"/>
  </r>
  <r>
    <x v="2"/>
    <s v="Mid level"/>
    <s v="MI"/>
    <s v="Full Time"/>
    <x v="4"/>
  </r>
  <r>
    <x v="2"/>
    <s v="Entry Level"/>
    <s v="EN"/>
    <s v="Full Time"/>
    <x v="2"/>
  </r>
  <r>
    <x v="2"/>
    <s v="Mid level"/>
    <s v="MI"/>
    <s v="Full Time"/>
    <x v="4"/>
  </r>
  <r>
    <x v="2"/>
    <s v="Senior Level"/>
    <s v="SE"/>
    <s v="Full Time"/>
    <x v="2"/>
  </r>
  <r>
    <x v="2"/>
    <s v="Senior Level"/>
    <s v="SE"/>
    <s v="Full Time"/>
    <x v="5"/>
  </r>
  <r>
    <x v="2"/>
    <s v="Mid level"/>
    <s v="MI"/>
    <s v="Full Time"/>
    <x v="3"/>
  </r>
  <r>
    <x v="2"/>
    <s v="Mid level"/>
    <s v="MI"/>
    <s v="Full Time"/>
    <x v="0"/>
  </r>
  <r>
    <x v="2"/>
    <s v="Mid level"/>
    <s v="MI"/>
    <s v="Full Time"/>
    <x v="4"/>
  </r>
  <r>
    <x v="2"/>
    <s v="Entry Level"/>
    <s v="EN"/>
    <s v="Full Time"/>
    <x v="3"/>
  </r>
  <r>
    <x v="2"/>
    <s v="Mid level"/>
    <s v="MI"/>
    <s v="Part Time"/>
    <x v="2"/>
  </r>
  <r>
    <x v="2"/>
    <s v="Entry Level"/>
    <s v="EN"/>
    <s v="Full Time"/>
    <x v="0"/>
  </r>
  <r>
    <x v="2"/>
    <s v="Senior Level"/>
    <s v="SE"/>
    <s v="Full Time"/>
    <x v="1"/>
  </r>
  <r>
    <x v="2"/>
    <s v="Entry Level"/>
    <s v="EN"/>
    <s v="Full Time"/>
    <x v="2"/>
  </r>
  <r>
    <x v="2"/>
    <s v="Senior Level"/>
    <s v="SE"/>
    <s v="Full Time"/>
    <x v="1"/>
  </r>
  <r>
    <x v="2"/>
    <s v="Senior Level"/>
    <s v="SE"/>
    <s v="Full Time"/>
    <x v="0"/>
  </r>
  <r>
    <x v="2"/>
    <s v="Senior Level"/>
    <s v="SE"/>
    <s v="Full Time"/>
    <x v="2"/>
  </r>
  <r>
    <x v="2"/>
    <s v="Senior Level"/>
    <s v="SE"/>
    <s v="Full Time"/>
    <x v="0"/>
  </r>
  <r>
    <x v="2"/>
    <s v="Mid level"/>
    <s v="MI"/>
    <s v="Full Time"/>
    <x v="3"/>
  </r>
  <r>
    <x v="2"/>
    <s v="Mid level"/>
    <s v="MI"/>
    <s v="Full Time"/>
    <x v="3"/>
  </r>
  <r>
    <x v="2"/>
    <s v="Senior Level"/>
    <s v="SE"/>
    <s v="Full Time"/>
    <x v="0"/>
  </r>
  <r>
    <x v="2"/>
    <s v="Senior Level"/>
    <s v="SE"/>
    <s v="Full Time"/>
    <x v="0"/>
  </r>
  <r>
    <x v="2"/>
    <s v="Mid level"/>
    <s v="MI"/>
    <s v="Full Time"/>
    <x v="0"/>
  </r>
  <r>
    <x v="2"/>
    <s v="Mid level"/>
    <s v="MI"/>
    <s v="Full Time"/>
    <x v="0"/>
  </r>
  <r>
    <x v="2"/>
    <s v="Senior Level"/>
    <s v="SE"/>
    <s v="Full Time"/>
    <x v="0"/>
  </r>
  <r>
    <x v="2"/>
    <s v="Senior Level"/>
    <s v="SE"/>
    <s v="Full Time"/>
    <x v="4"/>
  </r>
  <r>
    <x v="2"/>
    <s v="Mid level"/>
    <s v="MI"/>
    <s v="Full Time"/>
    <x v="0"/>
  </r>
  <r>
    <x v="2"/>
    <s v="Mid level"/>
    <s v="MI"/>
    <s v="Full Time"/>
    <x v="0"/>
  </r>
  <r>
    <x v="2"/>
    <s v="Senior Level"/>
    <s v="SE"/>
    <s v="Full Time"/>
    <x v="4"/>
  </r>
  <r>
    <x v="2"/>
    <s v="Senior Level"/>
    <s v="SE"/>
    <s v="Full Time"/>
    <x v="4"/>
  </r>
  <r>
    <x v="2"/>
    <s v="Expert Level"/>
    <s v="EX"/>
    <s v="Full Time"/>
    <x v="2"/>
  </r>
  <r>
    <x v="2"/>
    <s v="Expert Level"/>
    <s v="EX"/>
    <s v="Full Time"/>
    <x v="2"/>
  </r>
  <r>
    <x v="2"/>
    <s v="Senior Level"/>
    <s v="SE"/>
    <s v="Full Time"/>
    <x v="2"/>
  </r>
  <r>
    <x v="2"/>
    <s v="Senior Level"/>
    <s v="SE"/>
    <s v="Full Time"/>
    <x v="4"/>
  </r>
  <r>
    <x v="2"/>
    <s v="Senior Level"/>
    <s v="SE"/>
    <s v="Full Time"/>
    <x v="0"/>
  </r>
  <r>
    <x v="2"/>
    <s v="Entry Level"/>
    <s v="EN"/>
    <s v="Part Time"/>
    <x v="0"/>
  </r>
  <r>
    <x v="2"/>
    <s v="Mid level"/>
    <s v="MI"/>
    <s v="Freelance"/>
    <x v="0"/>
  </r>
  <r>
    <x v="2"/>
    <s v="Entry Level"/>
    <s v="EN"/>
    <s v="Contract"/>
    <x v="0"/>
  </r>
  <r>
    <x v="2"/>
    <s v="Senior Level"/>
    <s v="SE"/>
    <s v="Full Time"/>
    <x v="5"/>
  </r>
  <r>
    <x v="2"/>
    <s v="Mid level"/>
    <s v="MI"/>
    <s v="Full Time"/>
    <x v="3"/>
  </r>
  <r>
    <x v="2"/>
    <s v="Mid level"/>
    <s v="MI"/>
    <s v="Full Time"/>
    <x v="0"/>
  </r>
  <r>
    <x v="2"/>
    <s v="Senior Level"/>
    <s v="SE"/>
    <s v="Full Time"/>
    <x v="4"/>
  </r>
  <r>
    <x v="2"/>
    <s v="Senior Level"/>
    <s v="SE"/>
    <s v="Full Time"/>
    <x v="0"/>
  </r>
  <r>
    <x v="2"/>
    <s v="Mid level"/>
    <s v="MI"/>
    <s v="Full Time"/>
    <x v="1"/>
  </r>
  <r>
    <x v="2"/>
    <s v="Entry Level"/>
    <s v="EN"/>
    <s v="Full Time"/>
    <x v="2"/>
  </r>
  <r>
    <x v="2"/>
    <s v="Senior Level"/>
    <s v="SE"/>
    <s v="Full Time"/>
    <x v="0"/>
  </r>
  <r>
    <x v="2"/>
    <s v="Senior Level"/>
    <s v="SE"/>
    <s v="Full Time"/>
    <x v="1"/>
  </r>
  <r>
    <x v="2"/>
    <s v="Entry Level"/>
    <s v="EN"/>
    <s v="Full Time"/>
    <x v="0"/>
  </r>
  <r>
    <x v="2"/>
    <s v="Senior Level"/>
    <s v="SE"/>
    <s v="Full Time"/>
    <x v="4"/>
  </r>
  <r>
    <x v="2"/>
    <s v="Mid level"/>
    <s v="MI"/>
    <s v="Full Time"/>
    <x v="5"/>
  </r>
  <r>
    <x v="2"/>
    <s v="Entry Level"/>
    <s v="EN"/>
    <s v="Full Time"/>
    <x v="0"/>
  </r>
  <r>
    <x v="2"/>
    <s v="Mid level"/>
    <s v="MI"/>
    <s v="Full Time"/>
    <x v="4"/>
  </r>
  <r>
    <x v="2"/>
    <s v="Senior Level"/>
    <s v="SE"/>
    <s v="Full Time"/>
    <x v="2"/>
  </r>
  <r>
    <x v="2"/>
    <s v="Entry Level"/>
    <s v="EN"/>
    <s v="Full Time"/>
    <x v="0"/>
  </r>
  <r>
    <x v="2"/>
    <s v="Mid level"/>
    <s v="MI"/>
    <s v="Full Time"/>
    <x v="0"/>
  </r>
  <r>
    <x v="2"/>
    <s v="Mid level"/>
    <s v="MI"/>
    <s v="Full Time"/>
    <x v="1"/>
  </r>
  <r>
    <x v="2"/>
    <s v="Entry Level"/>
    <s v="EN"/>
    <s v="Full Time"/>
    <x v="1"/>
  </r>
  <r>
    <x v="2"/>
    <s v="Mid level"/>
    <s v="MI"/>
    <s v="Full Time"/>
    <x v="0"/>
  </r>
  <r>
    <x v="2"/>
    <s v="Entry Level"/>
    <s v="EN"/>
    <s v="Full Time"/>
    <x v="6"/>
  </r>
  <r>
    <x v="2"/>
    <s v="Mid level"/>
    <s v="MI"/>
    <s v="Full Time"/>
    <x v="3"/>
  </r>
  <r>
    <x v="2"/>
    <s v="Entry Level"/>
    <s v="EN"/>
    <s v="Full Time"/>
    <x v="2"/>
  </r>
  <r>
    <x v="2"/>
    <s v="Senior Level"/>
    <s v="SE"/>
    <s v="Full Time"/>
    <x v="4"/>
  </r>
  <r>
    <x v="2"/>
    <s v="Entry Level"/>
    <s v="EN"/>
    <s v="Full Time"/>
    <x v="3"/>
  </r>
  <r>
    <x v="2"/>
    <s v="Mid level"/>
    <s v="MI"/>
    <s v="Full Time"/>
    <x v="0"/>
  </r>
  <r>
    <x v="2"/>
    <s v="Senior Level"/>
    <s v="SE"/>
    <s v="Full Time"/>
    <x v="5"/>
  </r>
  <r>
    <x v="2"/>
    <s v="Mid level"/>
    <s v="MI"/>
    <s v="Full Time"/>
    <x v="2"/>
  </r>
  <r>
    <x v="2"/>
    <s v="Mid level"/>
    <s v="MI"/>
    <s v="Full Time"/>
    <x v="0"/>
  </r>
  <r>
    <x v="2"/>
    <s v="Senior Level"/>
    <s v="SE"/>
    <s v="Full Time"/>
    <x v="0"/>
  </r>
  <r>
    <x v="2"/>
    <s v="Mid level"/>
    <s v="MI"/>
    <s v="Full Time"/>
    <x v="0"/>
  </r>
  <r>
    <x v="2"/>
    <s v="Entry Level"/>
    <s v="EN"/>
    <s v="Full Time"/>
    <x v="2"/>
  </r>
  <r>
    <x v="2"/>
    <s v="Mid level"/>
    <s v="MI"/>
    <s v="Full Time"/>
    <x v="3"/>
  </r>
  <r>
    <x v="2"/>
    <s v="Senior Level"/>
    <s v="SE"/>
    <s v="Full Time"/>
    <x v="5"/>
  </r>
  <r>
    <x v="2"/>
    <s v="Mid level"/>
    <s v="MI"/>
    <s v="Full Time"/>
    <x v="0"/>
  </r>
  <r>
    <x v="2"/>
    <s v="Senior Level"/>
    <s v="SE"/>
    <s v="Full Time"/>
    <x v="0"/>
  </r>
  <r>
    <x v="2"/>
    <s v="Mid level"/>
    <s v="MI"/>
    <s v="Full Time"/>
    <x v="0"/>
  </r>
  <r>
    <x v="2"/>
    <s v="Senior Level"/>
    <s v="SE"/>
    <s v="Full Time"/>
    <x v="3"/>
  </r>
  <r>
    <x v="2"/>
    <s v="Senior Level"/>
    <s v="SE"/>
    <s v="Full Time"/>
    <x v="3"/>
  </r>
  <r>
    <x v="2"/>
    <s v="Senior Level"/>
    <s v="SE"/>
    <s v="Full Time"/>
    <x v="3"/>
  </r>
  <r>
    <x v="2"/>
    <s v="Mid level"/>
    <s v="MI"/>
    <s v="Full Time"/>
    <x v="3"/>
  </r>
  <r>
    <x v="2"/>
    <s v="Mid level"/>
    <s v="MI"/>
    <s v="Full Time"/>
    <x v="3"/>
  </r>
  <r>
    <x v="2"/>
    <s v="Senior Level"/>
    <s v="SE"/>
    <s v="Full Time"/>
    <x v="4"/>
  </r>
  <r>
    <x v="2"/>
    <s v="Senior Level"/>
    <s v="SE"/>
    <s v="Full Time"/>
    <x v="4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3"/>
  </r>
  <r>
    <x v="2"/>
    <s v="Senior Level"/>
    <s v="SE"/>
    <s v="Full Time"/>
    <x v="2"/>
  </r>
  <r>
    <x v="2"/>
    <s v="Mid level"/>
    <s v="MI"/>
    <s v="Full Time"/>
    <x v="0"/>
  </r>
  <r>
    <x v="2"/>
    <s v="Mid level"/>
    <s v="MI"/>
    <s v="Full Time"/>
    <x v="0"/>
  </r>
  <r>
    <x v="2"/>
    <s v="Senior Level"/>
    <s v="SE"/>
    <s v="Full Time"/>
    <x v="3"/>
  </r>
  <r>
    <x v="2"/>
    <s v="Senior Level"/>
    <s v="SE"/>
    <s v="Full Time"/>
    <x v="3"/>
  </r>
  <r>
    <x v="2"/>
    <s v="Mid level"/>
    <s v="MI"/>
    <s v="Full Time"/>
    <x v="2"/>
  </r>
  <r>
    <x v="2"/>
    <s v="Mid level"/>
    <s v="MI"/>
    <s v="Full Time"/>
    <x v="2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3"/>
  </r>
  <r>
    <x v="2"/>
    <s v="Senior Level"/>
    <s v="SE"/>
    <s v="Full Time"/>
    <x v="2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3"/>
  </r>
  <r>
    <x v="2"/>
    <s v="Senior Level"/>
    <s v="SE"/>
    <s v="Full Time"/>
    <x v="2"/>
  </r>
  <r>
    <x v="2"/>
    <s v="Senior Level"/>
    <s v="SE"/>
    <s v="Full Time"/>
    <x v="3"/>
  </r>
  <r>
    <x v="2"/>
    <s v="Mid level"/>
    <s v="MI"/>
    <s v="Full Time"/>
    <x v="3"/>
  </r>
  <r>
    <x v="2"/>
    <s v="Senior Level"/>
    <s v="SE"/>
    <s v="Full Time"/>
    <x v="3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3"/>
  </r>
  <r>
    <x v="2"/>
    <s v="Senior Level"/>
    <s v="SE"/>
    <s v="Full Time"/>
    <x v="3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3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3"/>
  </r>
  <r>
    <x v="2"/>
    <s v="Senior Level"/>
    <s v="SE"/>
    <s v="Full Time"/>
    <x v="3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3"/>
  </r>
  <r>
    <x v="2"/>
    <s v="Senior Level"/>
    <s v="SE"/>
    <s v="Full Time"/>
    <x v="3"/>
  </r>
  <r>
    <x v="2"/>
    <s v="Mid level"/>
    <s v="MI"/>
    <s v="Full Time"/>
    <x v="3"/>
  </r>
  <r>
    <x v="2"/>
    <s v="Senior Level"/>
    <s v="SE"/>
    <s v="Full Time"/>
    <x v="0"/>
  </r>
  <r>
    <x v="2"/>
    <s v="Senior Level"/>
    <s v="SE"/>
    <s v="Full Time"/>
    <x v="3"/>
  </r>
  <r>
    <x v="2"/>
    <s v="Senior Level"/>
    <s v="SE"/>
    <s v="Full Time"/>
    <x v="3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0"/>
  </r>
  <r>
    <x v="2"/>
    <s v="Senior Level"/>
    <s v="SE"/>
    <s v="Full Time"/>
    <x v="0"/>
  </r>
  <r>
    <x v="2"/>
    <s v="Senior Level"/>
    <s v="SE"/>
    <s v="Full Time"/>
    <x v="5"/>
  </r>
  <r>
    <x v="2"/>
    <s v="Senior Level"/>
    <s v="SE"/>
    <s v="Full Time"/>
    <x v="5"/>
  </r>
  <r>
    <x v="2"/>
    <s v="Senior Level"/>
    <s v="SE"/>
    <s v="Full Time"/>
    <x v="0"/>
  </r>
  <r>
    <x v="2"/>
    <s v="Senior Level"/>
    <s v="SE"/>
    <s v="Full Time"/>
    <x v="3"/>
  </r>
  <r>
    <x v="2"/>
    <s v="Mid level"/>
    <s v="MI"/>
    <s v="Full Time"/>
    <x v="0"/>
  </r>
  <r>
    <x v="2"/>
    <s v="Mid level"/>
    <s v="MI"/>
    <s v="Full Time"/>
    <x v="0"/>
  </r>
  <r>
    <x v="2"/>
    <s v="Entry Level"/>
    <s v="EN"/>
    <s v="Full Time"/>
    <x v="3"/>
  </r>
  <r>
    <x v="2"/>
    <s v="Entry Level"/>
    <s v="EN"/>
    <s v="Full Time"/>
    <x v="3"/>
  </r>
  <r>
    <x v="2"/>
    <s v="Senior Level"/>
    <s v="SE"/>
    <s v="Full Time"/>
    <x v="2"/>
  </r>
  <r>
    <x v="2"/>
    <s v="Senior Level"/>
    <s v="SE"/>
    <s v="Full Time"/>
    <x v="2"/>
  </r>
  <r>
    <x v="2"/>
    <s v="Senior Level"/>
    <s v="SE"/>
    <s v="Full Time"/>
    <x v="3"/>
  </r>
  <r>
    <x v="2"/>
    <s v="Senior Level"/>
    <s v="SE"/>
    <s v="Full Time"/>
    <x v="3"/>
  </r>
  <r>
    <x v="2"/>
    <s v="Mid level"/>
    <s v="MI"/>
    <s v="Full Time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7">
  <r>
    <x v="0"/>
    <s v="Data Scientist"/>
    <n v="79833"/>
    <s v="DE"/>
    <n v="0"/>
    <s v="DE"/>
    <x v="0"/>
  </r>
  <r>
    <x v="1"/>
    <s v="Machine Learning Scientist"/>
    <n v="260000"/>
    <s v="JP"/>
    <n v="0"/>
    <s v="JP"/>
    <x v="1"/>
  </r>
  <r>
    <x v="2"/>
    <s v="Big Data Engineer"/>
    <n v="109024"/>
    <s v="GB"/>
    <n v="50"/>
    <s v="GB"/>
    <x v="0"/>
  </r>
  <r>
    <x v="3"/>
    <s v="Product Data Analyst"/>
    <n v="20000"/>
    <s v="HN"/>
    <n v="0"/>
    <s v="HN"/>
    <x v="2"/>
  </r>
  <r>
    <x v="4"/>
    <s v="Machine Learning Engineer"/>
    <n v="150000"/>
    <s v="US"/>
    <n v="50"/>
    <s v="US"/>
    <x v="2"/>
  </r>
  <r>
    <x v="3"/>
    <s v="Data Analyst"/>
    <n v="72000"/>
    <s v="US"/>
    <n v="100"/>
    <s v="US"/>
    <x v="2"/>
  </r>
  <r>
    <x v="5"/>
    <s v="Lead Data Scientist"/>
    <n v="190000"/>
    <s v="US"/>
    <n v="100"/>
    <s v="US"/>
    <x v="2"/>
  </r>
  <r>
    <x v="0"/>
    <s v="Data Scientist"/>
    <n v="35735"/>
    <s v="HU"/>
    <n v="50"/>
    <s v="HU"/>
    <x v="0"/>
  </r>
  <r>
    <x v="3"/>
    <s v="Business Data Analyst"/>
    <n v="135000"/>
    <s v="US"/>
    <n v="100"/>
    <s v="US"/>
    <x v="2"/>
  </r>
  <r>
    <x v="5"/>
    <s v="Lead Data Engineer"/>
    <n v="125000"/>
    <s v="NZ"/>
    <n v="50"/>
    <s v="NZ"/>
    <x v="3"/>
  </r>
  <r>
    <x v="0"/>
    <s v="Data Scientist"/>
    <n v="51321"/>
    <s v="FR"/>
    <n v="0"/>
    <s v="FR"/>
    <x v="0"/>
  </r>
  <r>
    <x v="0"/>
    <s v="Data Scientist"/>
    <n v="40481"/>
    <s v="IN"/>
    <n v="0"/>
    <s v="IN"/>
    <x v="1"/>
  </r>
  <r>
    <x v="0"/>
    <s v="Data Scientist"/>
    <n v="39916"/>
    <s v="FR"/>
    <n v="0"/>
    <s v="FR"/>
    <x v="0"/>
  </r>
  <r>
    <x v="5"/>
    <s v="Lead Data Analyst"/>
    <n v="87000"/>
    <s v="US"/>
    <n v="100"/>
    <s v="US"/>
    <x v="2"/>
  </r>
  <r>
    <x v="3"/>
    <s v="Data Analyst"/>
    <n v="85000"/>
    <s v="US"/>
    <n v="100"/>
    <s v="US"/>
    <x v="2"/>
  </r>
  <r>
    <x v="3"/>
    <s v="Data Analyst"/>
    <n v="8000"/>
    <s v="PK"/>
    <n v="50"/>
    <s v="PK"/>
    <x v="1"/>
  </r>
  <r>
    <x v="2"/>
    <s v="Data Engineer"/>
    <n v="41689"/>
    <s v="JP"/>
    <n v="100"/>
    <s v="JP"/>
    <x v="1"/>
  </r>
  <r>
    <x v="2"/>
    <s v="Big Data Engineer"/>
    <n v="114047"/>
    <s v="PL"/>
    <n v="100"/>
    <s v="GB"/>
    <x v="0"/>
  </r>
  <r>
    <x v="3"/>
    <s v="Data Science Consultant"/>
    <n v="5707"/>
    <s v="IN"/>
    <n v="50"/>
    <s v="IN"/>
    <x v="1"/>
  </r>
  <r>
    <x v="5"/>
    <s v="Lead Data Engineer"/>
    <n v="56000"/>
    <s v="PT"/>
    <n v="100"/>
    <s v="US"/>
    <x v="2"/>
  </r>
  <r>
    <x v="4"/>
    <s v="Machine Learning Engineer"/>
    <n v="43331"/>
    <s v="CN"/>
    <n v="0"/>
    <s v="CN"/>
    <x v="1"/>
  </r>
  <r>
    <x v="3"/>
    <s v="Product Data Analyst"/>
    <n v="6072"/>
    <s v="IN"/>
    <n v="100"/>
    <s v="IN"/>
    <x v="1"/>
  </r>
  <r>
    <x v="2"/>
    <s v="Data Engineer"/>
    <n v="47899"/>
    <s v="GR"/>
    <n v="50"/>
    <s v="GR"/>
    <x v="0"/>
  </r>
  <r>
    <x v="3"/>
    <s v="BI Data Analyst"/>
    <n v="98000"/>
    <s v="US"/>
    <n v="0"/>
    <s v="US"/>
    <x v="2"/>
  </r>
  <r>
    <x v="5"/>
    <s v="Lead Data Scientist"/>
    <n v="115000"/>
    <s v="AE"/>
    <n v="0"/>
    <s v="AE"/>
    <x v="1"/>
  </r>
  <r>
    <x v="5"/>
    <s v="Director of Data Science"/>
    <n v="325000"/>
    <s v="US"/>
    <n v="100"/>
    <s v="US"/>
    <x v="2"/>
  </r>
  <r>
    <x v="1"/>
    <s v="Research Scientist"/>
    <n v="42000"/>
    <s v="NL"/>
    <n v="50"/>
    <s v="NL"/>
    <x v="0"/>
  </r>
  <r>
    <x v="2"/>
    <s v="Data Engineer"/>
    <n v="33511"/>
    <s v="MX"/>
    <n v="0"/>
    <s v="MX"/>
    <x v="2"/>
  </r>
  <r>
    <x v="3"/>
    <s v="Business Data Analyst"/>
    <n v="100000"/>
    <s v="US"/>
    <n v="100"/>
    <s v="US"/>
    <x v="2"/>
  </r>
  <r>
    <x v="5"/>
    <s v="Machine Learning Manager"/>
    <n v="117104"/>
    <s v="CA"/>
    <n v="50"/>
    <s v="CA"/>
    <x v="2"/>
  </r>
  <r>
    <x v="5"/>
    <s v="Data Engineering Manager"/>
    <n v="59303"/>
    <s v="DE"/>
    <n v="100"/>
    <s v="DE"/>
    <x v="0"/>
  </r>
  <r>
    <x v="2"/>
    <s v="Big Data Engineer"/>
    <n v="70000"/>
    <s v="US"/>
    <n v="100"/>
    <s v="US"/>
    <x v="2"/>
  </r>
  <r>
    <x v="0"/>
    <s v="Data Scientist"/>
    <n v="68428"/>
    <s v="GR"/>
    <n v="100"/>
    <s v="US"/>
    <x v="2"/>
  </r>
  <r>
    <x v="1"/>
    <s v="Research Scientist"/>
    <n v="450000"/>
    <s v="US"/>
    <n v="0"/>
    <s v="US"/>
    <x v="2"/>
  </r>
  <r>
    <x v="3"/>
    <s v="Data Analyst"/>
    <n v="46759"/>
    <s v="FR"/>
    <n v="50"/>
    <s v="FR"/>
    <x v="0"/>
  </r>
  <r>
    <x v="2"/>
    <s v="Data Engineer"/>
    <n v="74130"/>
    <s v="AT"/>
    <n v="50"/>
    <s v="AT"/>
    <x v="0"/>
  </r>
  <r>
    <x v="3"/>
    <s v="Data Science Consultant"/>
    <n v="103000"/>
    <s v="US"/>
    <n v="100"/>
    <s v="US"/>
    <x v="2"/>
  </r>
  <r>
    <x v="4"/>
    <s v="Machine Learning Engineer"/>
    <n v="250000"/>
    <s v="US"/>
    <n v="50"/>
    <s v="US"/>
    <x v="2"/>
  </r>
  <r>
    <x v="3"/>
    <s v="Data Analyst"/>
    <n v="10000"/>
    <s v="NG"/>
    <n v="100"/>
    <s v="NG"/>
    <x v="4"/>
  </r>
  <r>
    <x v="4"/>
    <s v="Machine Learning Engineer"/>
    <n v="138000"/>
    <s v="US"/>
    <n v="100"/>
    <s v="US"/>
    <x v="2"/>
  </r>
  <r>
    <x v="0"/>
    <s v="Data Scientist"/>
    <n v="45760"/>
    <s v="PH"/>
    <n v="100"/>
    <s v="US"/>
    <x v="2"/>
  </r>
  <r>
    <x v="5"/>
    <s v="Data Engineering Manager"/>
    <n v="79833"/>
    <s v="ES"/>
    <n v="50"/>
    <s v="ES"/>
    <x v="0"/>
  </r>
  <r>
    <x v="4"/>
    <s v="Machine Learning Infrastructure Engineer"/>
    <n v="50180"/>
    <s v="PT"/>
    <n v="0"/>
    <s v="PT"/>
    <x v="0"/>
  </r>
  <r>
    <x v="2"/>
    <s v="Data Engineer"/>
    <n v="106000"/>
    <s v="US"/>
    <n v="100"/>
    <s v="US"/>
    <x v="2"/>
  </r>
  <r>
    <x v="2"/>
    <s v="Data Engineer"/>
    <n v="112872"/>
    <s v="GB"/>
    <n v="50"/>
    <s v="GB"/>
    <x v="0"/>
  </r>
  <r>
    <x v="4"/>
    <s v="ML Engineer"/>
    <n v="15966"/>
    <s v="DE"/>
    <n v="100"/>
    <s v="DE"/>
    <x v="0"/>
  </r>
  <r>
    <x v="0"/>
    <s v="Data Scientist"/>
    <n v="76958"/>
    <s v="GB"/>
    <n v="100"/>
    <s v="GB"/>
    <x v="0"/>
  </r>
  <r>
    <x v="2"/>
    <s v="Data Engineer"/>
    <n v="188000"/>
    <s v="US"/>
    <n v="100"/>
    <s v="US"/>
    <x v="2"/>
  </r>
  <r>
    <x v="0"/>
    <s v="Data Scientist"/>
    <n v="105000"/>
    <s v="US"/>
    <n v="100"/>
    <s v="US"/>
    <x v="2"/>
  </r>
  <r>
    <x v="2"/>
    <s v="Data Engineer"/>
    <n v="70139"/>
    <s v="FR"/>
    <n v="50"/>
    <s v="FR"/>
    <x v="0"/>
  </r>
  <r>
    <x v="3"/>
    <s v="Data Analyst"/>
    <n v="6072"/>
    <s v="IN"/>
    <n v="0"/>
    <s v="IN"/>
    <x v="1"/>
  </r>
  <r>
    <x v="3"/>
    <s v="Data Analyst"/>
    <n v="91000"/>
    <s v="US"/>
    <n v="100"/>
    <s v="US"/>
    <x v="2"/>
  </r>
  <r>
    <x v="0"/>
    <s v="AI Scientist"/>
    <n v="45896"/>
    <s v="DK"/>
    <n v="50"/>
    <s v="DK"/>
    <x v="0"/>
  </r>
  <r>
    <x v="2"/>
    <s v="Data Engineer"/>
    <n v="54742"/>
    <s v="PK"/>
    <n v="100"/>
    <s v="DE"/>
    <x v="0"/>
  </r>
  <r>
    <x v="2"/>
    <s v="Computer Vision Engineer"/>
    <n v="60000"/>
    <s v="RU"/>
    <n v="100"/>
    <s v="US"/>
    <x v="2"/>
  </r>
  <r>
    <x v="1"/>
    <s v="Principal Data Scientist"/>
    <n v="148261"/>
    <s v="DE"/>
    <n v="100"/>
    <s v="DE"/>
    <x v="0"/>
  </r>
  <r>
    <x v="0"/>
    <s v="Data Scientist"/>
    <n v="38776"/>
    <s v="ES"/>
    <n v="100"/>
    <s v="ES"/>
    <x v="0"/>
  </r>
  <r>
    <x v="0"/>
    <s v="Data Scientist"/>
    <n v="118000"/>
    <s v="US"/>
    <n v="100"/>
    <s v="US"/>
    <x v="2"/>
  </r>
  <r>
    <x v="0"/>
    <s v="Data Scientist"/>
    <n v="120000"/>
    <s v="US"/>
    <n v="50"/>
    <s v="US"/>
    <x v="2"/>
  </r>
  <r>
    <x v="0"/>
    <s v="Data Scientist"/>
    <n v="138350"/>
    <s v="US"/>
    <n v="100"/>
    <s v="US"/>
    <x v="2"/>
  </r>
  <r>
    <x v="2"/>
    <s v="Data Engineer"/>
    <n v="110000"/>
    <s v="US"/>
    <n v="100"/>
    <s v="US"/>
    <x v="2"/>
  </r>
  <r>
    <x v="2"/>
    <s v="Data Engineer"/>
    <n v="130800"/>
    <s v="ES"/>
    <n v="100"/>
    <s v="US"/>
    <x v="2"/>
  </r>
  <r>
    <x v="0"/>
    <s v="Data Scientist"/>
    <n v="21669"/>
    <s v="IT"/>
    <n v="50"/>
    <s v="IT"/>
    <x v="0"/>
  </r>
  <r>
    <x v="0"/>
    <s v="Data Scientist"/>
    <n v="412000"/>
    <s v="US"/>
    <n v="100"/>
    <s v="US"/>
    <x v="2"/>
  </r>
  <r>
    <x v="4"/>
    <s v="Machine Learning Engineer"/>
    <n v="45618"/>
    <s v="HR"/>
    <n v="100"/>
    <s v="HR"/>
    <x v="0"/>
  </r>
  <r>
    <x v="0"/>
    <s v="Data Scientist"/>
    <n v="62726"/>
    <s v="DE"/>
    <n v="50"/>
    <s v="DE"/>
    <x v="0"/>
  </r>
  <r>
    <x v="0"/>
    <s v="Data Scientist"/>
    <n v="49268"/>
    <s v="DE"/>
    <n v="0"/>
    <s v="DE"/>
    <x v="0"/>
  </r>
  <r>
    <x v="5"/>
    <s v="Data Science Manager"/>
    <n v="190200"/>
    <s v="US"/>
    <n v="100"/>
    <s v="US"/>
    <x v="2"/>
  </r>
  <r>
    <x v="0"/>
    <s v="Data Scientist"/>
    <n v="105000"/>
    <s v="US"/>
    <n v="100"/>
    <s v="US"/>
    <x v="2"/>
  </r>
  <r>
    <x v="0"/>
    <s v="Data Scientist"/>
    <n v="91237"/>
    <s v="AT"/>
    <n v="0"/>
    <s v="AT"/>
    <x v="0"/>
  </r>
  <r>
    <x v="0"/>
    <s v="Data Scientist"/>
    <n v="62726"/>
    <s v="FR"/>
    <n v="50"/>
    <s v="LU"/>
    <x v="0"/>
  </r>
  <r>
    <x v="0"/>
    <s v="Data Scientist"/>
    <n v="42197"/>
    <s v="FR"/>
    <n v="50"/>
    <s v="FR"/>
    <x v="0"/>
  </r>
  <r>
    <x v="1"/>
    <s v="Research Scientist"/>
    <n v="82528"/>
    <s v="GB"/>
    <n v="50"/>
    <s v="GB"/>
    <x v="0"/>
  </r>
  <r>
    <x v="3"/>
    <s v="BI Data Analyst"/>
    <n v="150000"/>
    <s v="IN"/>
    <n v="100"/>
    <s v="US"/>
    <x v="2"/>
  </r>
  <r>
    <x v="5"/>
    <s v="Head of Data"/>
    <n v="235000"/>
    <s v="US"/>
    <n v="100"/>
    <s v="US"/>
    <x v="2"/>
  </r>
  <r>
    <x v="0"/>
    <s v="Data Scientist"/>
    <n v="53192"/>
    <s v="FR"/>
    <n v="50"/>
    <s v="FR"/>
    <x v="0"/>
  </r>
  <r>
    <x v="3"/>
    <s v="BI Data Analyst"/>
    <n v="100000"/>
    <s v="US"/>
    <n v="100"/>
    <s v="US"/>
    <x v="2"/>
  </r>
  <r>
    <x v="6"/>
    <s v="3D Computer Vision Researcher"/>
    <n v="5409"/>
    <s v="IN"/>
    <n v="50"/>
    <s v="IN"/>
    <x v="1"/>
  </r>
  <r>
    <x v="4"/>
    <s v="ML Engineer"/>
    <n v="270000"/>
    <s v="US"/>
    <n v="100"/>
    <s v="US"/>
    <x v="2"/>
  </r>
  <r>
    <x v="3"/>
    <s v="Data Analyst"/>
    <n v="80000"/>
    <s v="US"/>
    <n v="100"/>
    <s v="US"/>
    <x v="2"/>
  </r>
  <r>
    <x v="3"/>
    <s v="Data Analytics Engineer"/>
    <n v="79197"/>
    <s v="DE"/>
    <n v="100"/>
    <s v="DE"/>
    <x v="0"/>
  </r>
  <r>
    <x v="2"/>
    <s v="Data Engineer"/>
    <n v="140000"/>
    <s v="US"/>
    <n v="100"/>
    <s v="US"/>
    <x v="2"/>
  </r>
  <r>
    <x v="0"/>
    <s v="Applied Data Scientist"/>
    <n v="54238"/>
    <s v="GB"/>
    <n v="50"/>
    <s v="CA"/>
    <x v="2"/>
  </r>
  <r>
    <x v="4"/>
    <s v="Machine Learning Engineer"/>
    <n v="47282"/>
    <s v="ES"/>
    <n v="100"/>
    <s v="ES"/>
    <x v="0"/>
  </r>
  <r>
    <x v="5"/>
    <s v="Director of Data Science"/>
    <n v="153667"/>
    <s v="IT"/>
    <n v="100"/>
    <s v="PL"/>
    <x v="0"/>
  </r>
  <r>
    <x v="2"/>
    <s v="Data Engineer"/>
    <n v="28476"/>
    <s v="PL"/>
    <n v="100"/>
    <s v="PL"/>
    <x v="0"/>
  </r>
  <r>
    <x v="3"/>
    <s v="Data Analyst"/>
    <n v="59102"/>
    <s v="FR"/>
    <n v="50"/>
    <s v="FR"/>
    <x v="0"/>
  </r>
  <r>
    <x v="3"/>
    <s v="Data Analytics Engineer"/>
    <n v="110000"/>
    <s v="US"/>
    <n v="100"/>
    <s v="US"/>
    <x v="2"/>
  </r>
  <r>
    <x v="5"/>
    <s v="Lead Data Analyst"/>
    <n v="170000"/>
    <s v="US"/>
    <n v="100"/>
    <s v="US"/>
    <x v="2"/>
  </r>
  <r>
    <x v="3"/>
    <s v="Data Analyst"/>
    <n v="80000"/>
    <s v="BG"/>
    <n v="100"/>
    <s v="US"/>
    <x v="2"/>
  </r>
  <r>
    <x v="3"/>
    <s v="Marketing Data Analyst"/>
    <n v="88654"/>
    <s v="GR"/>
    <n v="100"/>
    <s v="DK"/>
    <x v="0"/>
  </r>
  <r>
    <x v="3"/>
    <s v="Data Science Consultant"/>
    <n v="76833"/>
    <s v="DE"/>
    <n v="100"/>
    <s v="DE"/>
    <x v="0"/>
  </r>
  <r>
    <x v="5"/>
    <s v="Lead Data Analyst"/>
    <n v="19609"/>
    <s v="IN"/>
    <n v="100"/>
    <s v="IN"/>
    <x v="1"/>
  </r>
  <r>
    <x v="5"/>
    <s v="Lead Data Engineer"/>
    <n v="276000"/>
    <s v="US"/>
    <n v="0"/>
    <s v="US"/>
    <x v="2"/>
  </r>
  <r>
    <x v="0"/>
    <s v="Data Scientist"/>
    <n v="29751"/>
    <s v="IN"/>
    <n v="50"/>
    <s v="IN"/>
    <x v="1"/>
  </r>
  <r>
    <x v="2"/>
    <s v="Cloud Data Engineer"/>
    <n v="89294"/>
    <s v="SG"/>
    <n v="50"/>
    <s v="SG"/>
    <x v="1"/>
  </r>
  <r>
    <x v="0"/>
    <s v="AI Scientist"/>
    <n v="12000"/>
    <s v="BR"/>
    <n v="100"/>
    <s v="US"/>
    <x v="2"/>
  </r>
  <r>
    <x v="3"/>
    <s v="Financial Data Analyst"/>
    <n v="450000"/>
    <s v="US"/>
    <n v="100"/>
    <s v="US"/>
    <x v="2"/>
  </r>
  <r>
    <x v="6"/>
    <s v="Computer Vision Software Engineer"/>
    <n v="70000"/>
    <s v="US"/>
    <n v="100"/>
    <s v="US"/>
    <x v="2"/>
  </r>
  <r>
    <x v="6"/>
    <s v="Computer Vision Software Engineer"/>
    <n v="95746"/>
    <s v="DE"/>
    <n v="100"/>
    <s v="US"/>
    <x v="2"/>
  </r>
  <r>
    <x v="3"/>
    <s v="Data Analyst"/>
    <n v="75000"/>
    <s v="US"/>
    <n v="0"/>
    <s v="US"/>
    <x v="2"/>
  </r>
  <r>
    <x v="2"/>
    <s v="Data Engineer"/>
    <n v="150000"/>
    <s v="US"/>
    <n v="100"/>
    <s v="US"/>
    <x v="2"/>
  </r>
  <r>
    <x v="3"/>
    <s v="BI Data Analyst"/>
    <n v="36259"/>
    <s v="HU"/>
    <n v="50"/>
    <s v="US"/>
    <x v="2"/>
  </r>
  <r>
    <x v="3"/>
    <s v="Data Analyst"/>
    <n v="62000"/>
    <s v="US"/>
    <n v="0"/>
    <s v="US"/>
    <x v="2"/>
  </r>
  <r>
    <x v="0"/>
    <s v="Data Scientist"/>
    <n v="73000"/>
    <s v="US"/>
    <n v="0"/>
    <s v="US"/>
    <x v="2"/>
  </r>
  <r>
    <x v="3"/>
    <s v="Data Analyst"/>
    <n v="51519"/>
    <s v="GB"/>
    <n v="50"/>
    <s v="GB"/>
    <x v="0"/>
  </r>
  <r>
    <x v="1"/>
    <s v="Research Scientist"/>
    <n v="187442"/>
    <s v="CA"/>
    <n v="100"/>
    <s v="CA"/>
    <x v="2"/>
  </r>
  <r>
    <x v="2"/>
    <s v="Data Engineer"/>
    <n v="115000"/>
    <s v="US"/>
    <n v="100"/>
    <s v="US"/>
    <x v="2"/>
  </r>
  <r>
    <x v="2"/>
    <s v="Data Engineer"/>
    <n v="150000"/>
    <s v="US"/>
    <n v="100"/>
    <s v="US"/>
    <x v="2"/>
  </r>
  <r>
    <x v="2"/>
    <s v="Data Engineer"/>
    <n v="30428"/>
    <s v="IN"/>
    <n v="100"/>
    <s v="IN"/>
    <x v="1"/>
  </r>
  <r>
    <x v="4"/>
    <s v="Machine Learning Engineer"/>
    <n v="94564"/>
    <s v="DE"/>
    <n v="50"/>
    <s v="DE"/>
    <x v="0"/>
  </r>
  <r>
    <x v="5"/>
    <s v="Director of Data Engineering"/>
    <n v="113476"/>
    <s v="GB"/>
    <n v="100"/>
    <s v="GB"/>
    <x v="0"/>
  </r>
  <r>
    <x v="5"/>
    <s v="Lead Data Engineer"/>
    <n v="103160"/>
    <s v="GB"/>
    <n v="100"/>
    <s v="GB"/>
    <x v="0"/>
  </r>
  <r>
    <x v="0"/>
    <s v="AI Scientist"/>
    <n v="12000"/>
    <s v="PK"/>
    <n v="100"/>
    <s v="US"/>
    <x v="2"/>
  </r>
  <r>
    <x v="2"/>
    <s v="Data Engineer"/>
    <n v="45391"/>
    <s v="NL"/>
    <n v="100"/>
    <s v="NL"/>
    <x v="0"/>
  </r>
  <r>
    <x v="1"/>
    <s v="Machine Learning Scientist"/>
    <n v="225000"/>
    <s v="US"/>
    <n v="100"/>
    <s v="US"/>
    <x v="2"/>
  </r>
  <r>
    <x v="0"/>
    <s v="Data Scientist"/>
    <n v="50000"/>
    <s v="NG"/>
    <n v="100"/>
    <s v="NG"/>
    <x v="4"/>
  </r>
  <r>
    <x v="2"/>
    <s v="Data Science Engineer"/>
    <n v="40189"/>
    <s v="GR"/>
    <n v="100"/>
    <s v="GR"/>
    <x v="0"/>
  </r>
  <r>
    <x v="3"/>
    <s v="Data Analyst"/>
    <n v="90000"/>
    <s v="US"/>
    <n v="100"/>
    <s v="US"/>
    <x v="2"/>
  </r>
  <r>
    <x v="2"/>
    <s v="Data Engineer"/>
    <n v="200000"/>
    <s v="US"/>
    <n v="100"/>
    <s v="US"/>
    <x v="2"/>
  </r>
  <r>
    <x v="2"/>
    <s v="Big Data Engineer"/>
    <n v="60000"/>
    <s v="ES"/>
    <n v="50"/>
    <s v="RO"/>
    <x v="0"/>
  </r>
  <r>
    <x v="2"/>
    <s v="Principal Data Engineer"/>
    <n v="200000"/>
    <s v="US"/>
    <n v="100"/>
    <s v="US"/>
    <x v="2"/>
  </r>
  <r>
    <x v="3"/>
    <s v="Data Analyst"/>
    <n v="50000"/>
    <s v="US"/>
    <n v="100"/>
    <s v="US"/>
    <x v="2"/>
  </r>
  <r>
    <x v="0"/>
    <s v="Applied Data Scientist"/>
    <n v="110037"/>
    <s v="GB"/>
    <n v="0"/>
    <s v="GB"/>
    <x v="0"/>
  </r>
  <r>
    <x v="3"/>
    <s v="Data Analyst"/>
    <n v="10354"/>
    <s v="ES"/>
    <n v="50"/>
    <s v="ES"/>
    <x v="0"/>
  </r>
  <r>
    <x v="1"/>
    <s v="Principal Data Scientist"/>
    <n v="151000"/>
    <s v="US"/>
    <n v="100"/>
    <s v="US"/>
    <x v="2"/>
  </r>
  <r>
    <x v="1"/>
    <s v="Machine Learning Scientist"/>
    <n v="120000"/>
    <s v="US"/>
    <n v="50"/>
    <s v="US"/>
    <x v="2"/>
  </r>
  <r>
    <x v="0"/>
    <s v="Data Scientist"/>
    <n v="9466"/>
    <s v="IN"/>
    <n v="0"/>
    <s v="IN"/>
    <x v="1"/>
  </r>
  <r>
    <x v="4"/>
    <s v="Machine Learning Engineer"/>
    <n v="20000"/>
    <s v="IN"/>
    <n v="100"/>
    <s v="IN"/>
    <x v="1"/>
  </r>
  <r>
    <x v="5"/>
    <s v="Lead Data Scientist"/>
    <n v="40570"/>
    <s v="IN"/>
    <n v="50"/>
    <s v="IN"/>
    <x v="1"/>
  </r>
  <r>
    <x v="4"/>
    <s v="Machine Learning Developer"/>
    <n v="100000"/>
    <s v="IQ"/>
    <n v="50"/>
    <s v="IQ"/>
    <x v="1"/>
  </r>
  <r>
    <x v="0"/>
    <s v="Data Scientist"/>
    <n v="49646"/>
    <s v="FR"/>
    <n v="50"/>
    <s v="FR"/>
    <x v="0"/>
  </r>
  <r>
    <x v="0"/>
    <s v="Applied Machine Learning Scientist"/>
    <n v="38400"/>
    <s v="VN"/>
    <n v="100"/>
    <s v="US"/>
    <x v="2"/>
  </r>
  <r>
    <x v="2"/>
    <s v="Computer Vision Engineer"/>
    <n v="24000"/>
    <s v="BR"/>
    <n v="100"/>
    <s v="BR"/>
    <x v="5"/>
  </r>
  <r>
    <x v="0"/>
    <s v="Data Scientist"/>
    <n v="100000"/>
    <s v="US"/>
    <n v="0"/>
    <s v="US"/>
    <x v="2"/>
  </r>
  <r>
    <x v="3"/>
    <s v="Data Analyst"/>
    <n v="90000"/>
    <s v="US"/>
    <n v="100"/>
    <s v="US"/>
    <x v="2"/>
  </r>
  <r>
    <x v="4"/>
    <s v="ML Engineer"/>
    <n v="63711"/>
    <s v="JP"/>
    <n v="50"/>
    <s v="JP"/>
    <x v="1"/>
  </r>
  <r>
    <x v="4"/>
    <s v="ML Engineer"/>
    <n v="77364"/>
    <s v="JP"/>
    <n v="50"/>
    <s v="JP"/>
    <x v="1"/>
  </r>
  <r>
    <x v="1"/>
    <s v="Principal Data Scientist"/>
    <n v="220000"/>
    <s v="US"/>
    <n v="0"/>
    <s v="US"/>
    <x v="2"/>
  </r>
  <r>
    <x v="0"/>
    <s v="Data Scientist"/>
    <n v="80000"/>
    <s v="US"/>
    <n v="100"/>
    <s v="US"/>
    <x v="2"/>
  </r>
  <r>
    <x v="3"/>
    <s v="Data Analyst"/>
    <n v="135000"/>
    <s v="US"/>
    <n v="100"/>
    <s v="US"/>
    <x v="2"/>
  </r>
  <r>
    <x v="5"/>
    <s v="Data Science Manager"/>
    <n v="240000"/>
    <s v="US"/>
    <n v="0"/>
    <s v="US"/>
    <x v="2"/>
  </r>
  <r>
    <x v="5"/>
    <s v="Data Engineering Manager"/>
    <n v="150000"/>
    <s v="US"/>
    <n v="0"/>
    <s v="US"/>
    <x v="2"/>
  </r>
  <r>
    <x v="0"/>
    <s v="Data Scientist"/>
    <n v="82500"/>
    <s v="US"/>
    <n v="100"/>
    <s v="US"/>
    <x v="2"/>
  </r>
  <r>
    <x v="2"/>
    <s v="Data Engineer"/>
    <n v="100000"/>
    <s v="US"/>
    <n v="100"/>
    <s v="US"/>
    <x v="2"/>
  </r>
  <r>
    <x v="4"/>
    <s v="Machine Learning Engineer"/>
    <n v="82744"/>
    <s v="BE"/>
    <n v="50"/>
    <s v="BE"/>
    <x v="0"/>
  </r>
  <r>
    <x v="1"/>
    <s v="Research Scientist"/>
    <n v="62649"/>
    <s v="FR"/>
    <n v="50"/>
    <s v="FR"/>
    <x v="0"/>
  </r>
  <r>
    <x v="2"/>
    <s v="Data Engineer"/>
    <n v="90000"/>
    <s v="US"/>
    <n v="100"/>
    <s v="US"/>
    <x v="2"/>
  </r>
  <r>
    <x v="5"/>
    <s v="Data Engineering Manager"/>
    <n v="153000"/>
    <s v="US"/>
    <n v="100"/>
    <s v="US"/>
    <x v="2"/>
  </r>
  <r>
    <x v="2"/>
    <s v="Cloud Data Engineer"/>
    <n v="160000"/>
    <s v="BR"/>
    <n v="100"/>
    <s v="US"/>
    <x v="2"/>
  </r>
  <r>
    <x v="5"/>
    <s v="Director of Data Science"/>
    <n v="168000"/>
    <s v="JP"/>
    <n v="0"/>
    <s v="JP"/>
    <x v="1"/>
  </r>
  <r>
    <x v="0"/>
    <s v="Data Scientist"/>
    <n v="150000"/>
    <s v="US"/>
    <n v="100"/>
    <s v="US"/>
    <x v="2"/>
  </r>
  <r>
    <x v="0"/>
    <s v="Data Scientist"/>
    <n v="75774"/>
    <s v="CA"/>
    <n v="100"/>
    <s v="CA"/>
    <x v="2"/>
  </r>
  <r>
    <x v="0"/>
    <s v="Data Scientist"/>
    <n v="13400"/>
    <s v="UA"/>
    <n v="100"/>
    <s v="UA"/>
    <x v="0"/>
  </r>
  <r>
    <x v="5"/>
    <s v="Data Science Manager"/>
    <n v="144000"/>
    <s v="US"/>
    <n v="100"/>
    <s v="US"/>
    <x v="2"/>
  </r>
  <r>
    <x v="2"/>
    <s v="Data Science Engineer"/>
    <n v="127221"/>
    <s v="CA"/>
    <n v="50"/>
    <s v="CA"/>
    <x v="2"/>
  </r>
  <r>
    <x v="0"/>
    <s v="Data Scientist"/>
    <n v="119059"/>
    <s v="SG"/>
    <n v="100"/>
    <s v="IL"/>
    <x v="1"/>
  </r>
  <r>
    <x v="0"/>
    <s v="Applied Machine Learning Scientist"/>
    <n v="423000"/>
    <s v="US"/>
    <n v="50"/>
    <s v="US"/>
    <x v="2"/>
  </r>
  <r>
    <x v="5"/>
    <s v="Data Analytics Manager"/>
    <n v="120000"/>
    <s v="US"/>
    <n v="100"/>
    <s v="US"/>
    <x v="2"/>
  </r>
  <r>
    <x v="4"/>
    <s v="Machine Learning Engineer"/>
    <n v="125000"/>
    <s v="US"/>
    <n v="100"/>
    <s v="US"/>
    <x v="2"/>
  </r>
  <r>
    <x v="5"/>
    <s v="Head of Data"/>
    <n v="230000"/>
    <s v="RU"/>
    <n v="50"/>
    <s v="RU"/>
    <x v="0"/>
  </r>
  <r>
    <x v="5"/>
    <s v="Head of Data Science"/>
    <n v="85000"/>
    <s v="RU"/>
    <n v="0"/>
    <s v="RU"/>
    <x v="0"/>
  </r>
  <r>
    <x v="2"/>
    <s v="Data Engineer"/>
    <n v="28369"/>
    <s v="MT"/>
    <n v="50"/>
    <s v="MT"/>
    <x v="0"/>
  </r>
  <r>
    <x v="3"/>
    <s v="Data Science Consultant"/>
    <n v="63831"/>
    <s v="DE"/>
    <n v="50"/>
    <s v="DE"/>
    <x v="0"/>
  </r>
  <r>
    <x v="5"/>
    <s v="Director of Data Science"/>
    <n v="130026"/>
    <s v="DE"/>
    <n v="50"/>
    <s v="DE"/>
    <x v="0"/>
  </r>
  <r>
    <x v="3"/>
    <s v="Data Specialist"/>
    <n v="165000"/>
    <s v="US"/>
    <n v="100"/>
    <s v="US"/>
    <x v="2"/>
  </r>
  <r>
    <x v="2"/>
    <s v="Data Engineer"/>
    <n v="80000"/>
    <s v="US"/>
    <n v="100"/>
    <s v="US"/>
    <x v="2"/>
  </r>
  <r>
    <x v="5"/>
    <s v="Director of Data Science"/>
    <n v="250000"/>
    <s v="US"/>
    <n v="0"/>
    <s v="US"/>
    <x v="2"/>
  </r>
  <r>
    <x v="3"/>
    <s v="BI Data Analyst"/>
    <n v="55000"/>
    <s v="US"/>
    <n v="50"/>
    <s v="US"/>
    <x v="2"/>
  </r>
  <r>
    <x v="2"/>
    <s v="Data Architect"/>
    <n v="150000"/>
    <s v="US"/>
    <n v="100"/>
    <s v="US"/>
    <x v="2"/>
  </r>
  <r>
    <x v="2"/>
    <s v="Data Architect"/>
    <n v="170000"/>
    <s v="US"/>
    <n v="100"/>
    <s v="US"/>
    <x v="2"/>
  </r>
  <r>
    <x v="2"/>
    <s v="Data Engineer"/>
    <n v="82528"/>
    <s v="GB"/>
    <n v="100"/>
    <s v="GB"/>
    <x v="0"/>
  </r>
  <r>
    <x v="3"/>
    <s v="Data Analyst"/>
    <n v="60000"/>
    <s v="US"/>
    <n v="100"/>
    <s v="US"/>
    <x v="2"/>
  </r>
  <r>
    <x v="1"/>
    <s v="Principal Data Scientist"/>
    <n v="235000"/>
    <s v="US"/>
    <n v="100"/>
    <s v="US"/>
    <x v="2"/>
  </r>
  <r>
    <x v="1"/>
    <s v="Research Scientist"/>
    <n v="60757"/>
    <s v="PT"/>
    <n v="50"/>
    <s v="PT"/>
    <x v="0"/>
  </r>
  <r>
    <x v="5"/>
    <s v="Data Engineering Manager"/>
    <n v="174000"/>
    <s v="US"/>
    <n v="100"/>
    <s v="US"/>
    <x v="2"/>
  </r>
  <r>
    <x v="0"/>
    <s v="Data Scientist"/>
    <n v="2859"/>
    <s v="MX"/>
    <n v="0"/>
    <s v="MX"/>
    <x v="2"/>
  </r>
  <r>
    <x v="0"/>
    <s v="Data Scientist"/>
    <n v="40038"/>
    <s v="CL"/>
    <n v="100"/>
    <s v="CL"/>
    <x v="5"/>
  </r>
  <r>
    <x v="4"/>
    <s v="Machine Learning Engineer"/>
    <n v="81000"/>
    <s v="US"/>
    <n v="50"/>
    <s v="US"/>
    <x v="2"/>
  </r>
  <r>
    <x v="0"/>
    <s v="Data Scientist"/>
    <n v="5679"/>
    <s v="IN"/>
    <n v="100"/>
    <s v="US"/>
    <x v="2"/>
  </r>
  <r>
    <x v="2"/>
    <s v="Big Data Engineer"/>
    <n v="22611"/>
    <s v="IN"/>
    <n v="0"/>
    <s v="IN"/>
    <x v="1"/>
  </r>
  <r>
    <x v="0"/>
    <s v="Data Scientist"/>
    <n v="90734"/>
    <s v="DE"/>
    <n v="50"/>
    <s v="DE"/>
    <x v="0"/>
  </r>
  <r>
    <x v="2"/>
    <s v="Data Engineer"/>
    <n v="26005"/>
    <s v="RO"/>
    <n v="0"/>
    <s v="US"/>
    <x v="2"/>
  </r>
  <r>
    <x v="3"/>
    <s v="Finance Data Analyst"/>
    <n v="61896"/>
    <s v="GB"/>
    <n v="50"/>
    <s v="GB"/>
    <x v="0"/>
  </r>
  <r>
    <x v="1"/>
    <s v="Machine Learning Scientist"/>
    <n v="12000"/>
    <s v="PK"/>
    <n v="50"/>
    <s v="PK"/>
    <x v="1"/>
  </r>
  <r>
    <x v="2"/>
    <s v="Data Engineer"/>
    <n v="4000"/>
    <s v="IR"/>
    <n v="100"/>
    <s v="IR"/>
    <x v="1"/>
  </r>
  <r>
    <x v="3"/>
    <s v="Data Analytics Engineer"/>
    <n v="50000"/>
    <s v="VN"/>
    <n v="100"/>
    <s v="GB"/>
    <x v="0"/>
  </r>
  <r>
    <x v="3"/>
    <s v="Data Science Consultant"/>
    <n v="69741"/>
    <s v="FR"/>
    <n v="100"/>
    <s v="ES"/>
    <x v="0"/>
  </r>
  <r>
    <x v="2"/>
    <s v="Data Engineer"/>
    <n v="76833"/>
    <s v="RO"/>
    <n v="50"/>
    <s v="GB"/>
    <x v="0"/>
  </r>
  <r>
    <x v="4"/>
    <s v="Machine Learning Engineer"/>
    <n v="74000"/>
    <s v="JP"/>
    <n v="50"/>
    <s v="JP"/>
    <x v="1"/>
  </r>
  <r>
    <x v="5"/>
    <s v="Data Science Manager"/>
    <n v="152000"/>
    <s v="US"/>
    <n v="100"/>
    <s v="FR"/>
    <x v="0"/>
  </r>
  <r>
    <x v="4"/>
    <s v="Machine Learning Engineer"/>
    <n v="21844"/>
    <s v="CO"/>
    <n v="50"/>
    <s v="CO"/>
    <x v="5"/>
  </r>
  <r>
    <x v="2"/>
    <s v="Big Data Engineer"/>
    <n v="18000"/>
    <s v="MD"/>
    <n v="0"/>
    <s v="MD"/>
    <x v="0"/>
  </r>
  <r>
    <x v="5"/>
    <s v="Data Science Manager"/>
    <n v="174000"/>
    <s v="US"/>
    <n v="100"/>
    <s v="US"/>
    <x v="2"/>
  </r>
  <r>
    <x v="1"/>
    <s v="Research Scientist"/>
    <n v="96113"/>
    <s v="CA"/>
    <n v="50"/>
    <s v="CA"/>
    <x v="2"/>
  </r>
  <r>
    <x v="0"/>
    <s v="Data Scientist"/>
    <n v="147000"/>
    <s v="US"/>
    <n v="50"/>
    <s v="US"/>
    <x v="2"/>
  </r>
  <r>
    <x v="3"/>
    <s v="BI Data Analyst"/>
    <n v="9272"/>
    <s v="KE"/>
    <n v="100"/>
    <s v="KE"/>
    <x v="4"/>
  </r>
  <r>
    <x v="4"/>
    <s v="Machine Learning Engineer"/>
    <n v="24342"/>
    <s v="IN"/>
    <n v="100"/>
    <s v="IN"/>
    <x v="1"/>
  </r>
  <r>
    <x v="5"/>
    <s v="Data Science Manager"/>
    <n v="54094"/>
    <s v="IN"/>
    <n v="50"/>
    <s v="US"/>
    <x v="2"/>
  </r>
  <r>
    <x v="3"/>
    <s v="Data Science Consultant"/>
    <n v="90000"/>
    <s v="US"/>
    <n v="100"/>
    <s v="US"/>
    <x v="2"/>
  </r>
  <r>
    <x v="0"/>
    <s v="Data Scientist"/>
    <n v="61467"/>
    <s v="DE"/>
    <n v="50"/>
    <s v="AT"/>
    <x v="0"/>
  </r>
  <r>
    <x v="4"/>
    <s v="Machine Learning Infrastructure Engineer"/>
    <n v="195000"/>
    <s v="US"/>
    <n v="100"/>
    <s v="US"/>
    <x v="2"/>
  </r>
  <r>
    <x v="0"/>
    <s v="Data Scientist"/>
    <n v="37825"/>
    <s v="ES"/>
    <n v="100"/>
    <s v="ES"/>
    <x v="0"/>
  </r>
  <r>
    <x v="1"/>
    <s v="Research Scientist"/>
    <n v="50000"/>
    <s v="FR"/>
    <n v="100"/>
    <s v="US"/>
    <x v="2"/>
  </r>
  <r>
    <x v="0"/>
    <s v="Data Scientist"/>
    <n v="160000"/>
    <s v="US"/>
    <n v="100"/>
    <s v="US"/>
    <x v="2"/>
  </r>
  <r>
    <x v="0"/>
    <s v="Data Scientist"/>
    <n v="12901"/>
    <s v="BR"/>
    <n v="0"/>
    <s v="BR"/>
    <x v="5"/>
  </r>
  <r>
    <x v="4"/>
    <s v="Machine Learning Engineer"/>
    <n v="200000"/>
    <s v="US"/>
    <n v="100"/>
    <s v="US"/>
    <x v="2"/>
  </r>
  <r>
    <x v="2"/>
    <s v="Data Engineer"/>
    <n v="165000"/>
    <s v="US"/>
    <n v="0"/>
    <s v="US"/>
    <x v="2"/>
  </r>
  <r>
    <x v="2"/>
    <s v="Data Engineer"/>
    <n v="20000"/>
    <s v="IT"/>
    <n v="0"/>
    <s v="US"/>
    <x v="2"/>
  </r>
  <r>
    <x v="5"/>
    <s v="Data Analytics Manager"/>
    <n v="120000"/>
    <s v="US"/>
    <n v="0"/>
    <s v="US"/>
    <x v="2"/>
  </r>
  <r>
    <x v="4"/>
    <s v="Machine Learning Engineer"/>
    <n v="24823"/>
    <s v="SI"/>
    <n v="50"/>
    <s v="SI"/>
    <x v="0"/>
  </r>
  <r>
    <x v="1"/>
    <s v="Research Scientist"/>
    <n v="56738"/>
    <s v="FR"/>
    <n v="50"/>
    <s v="FR"/>
    <x v="0"/>
  </r>
  <r>
    <x v="2"/>
    <s v="Data Engineer"/>
    <n v="66022"/>
    <s v="HK"/>
    <n v="50"/>
    <s v="GB"/>
    <x v="0"/>
  </r>
  <r>
    <x v="2"/>
    <s v="Big Data Engineer"/>
    <n v="5882"/>
    <s v="IN"/>
    <n v="0"/>
    <s v="CH"/>
    <x v="0"/>
  </r>
  <r>
    <x v="4"/>
    <s v="Machine Learning Engineer"/>
    <n v="24823"/>
    <s v="DE"/>
    <n v="50"/>
    <s v="DE"/>
    <x v="0"/>
  </r>
  <r>
    <x v="2"/>
    <s v="Principal Data Engineer"/>
    <n v="185000"/>
    <s v="US"/>
    <n v="100"/>
    <s v="US"/>
    <x v="2"/>
  </r>
  <r>
    <x v="2"/>
    <s v="Computer Vision Engineer"/>
    <n v="28609"/>
    <s v="DK"/>
    <n v="50"/>
    <s v="DK"/>
    <x v="0"/>
  </r>
  <r>
    <x v="0"/>
    <s v="Data Scientist"/>
    <n v="90734"/>
    <s v="DE"/>
    <n v="50"/>
    <s v="DE"/>
    <x v="0"/>
  </r>
  <r>
    <x v="4"/>
    <s v="Machine Learning Engineer"/>
    <n v="88654"/>
    <s v="BE"/>
    <n v="100"/>
    <s v="BE"/>
    <x v="0"/>
  </r>
  <r>
    <x v="5"/>
    <s v="Data Analytics Manager"/>
    <n v="140000"/>
    <s v="US"/>
    <n v="100"/>
    <s v="US"/>
    <x v="2"/>
  </r>
  <r>
    <x v="4"/>
    <s v="Machine Learning Engineer"/>
    <n v="46597"/>
    <s v="PL"/>
    <n v="100"/>
    <s v="PL"/>
    <x v="0"/>
  </r>
  <r>
    <x v="0"/>
    <s v="Data Scientist"/>
    <n v="116914"/>
    <s v="GB"/>
    <n v="50"/>
    <s v="GB"/>
    <x v="0"/>
  </r>
  <r>
    <x v="0"/>
    <s v="Data Scientist"/>
    <n v="33808"/>
    <s v="IN"/>
    <n v="0"/>
    <s v="IN"/>
    <x v="1"/>
  </r>
  <r>
    <x v="0"/>
    <s v="Data Scientist"/>
    <n v="56256"/>
    <s v="GB"/>
    <n v="50"/>
    <s v="GB"/>
    <x v="0"/>
  </r>
  <r>
    <x v="1"/>
    <s v="Machine Learning Scientist"/>
    <n v="225000"/>
    <s v="US"/>
    <n v="100"/>
    <s v="CA"/>
    <x v="2"/>
  </r>
  <r>
    <x v="1"/>
    <s v="Principal Data Scientist"/>
    <n v="416000"/>
    <s v="US"/>
    <n v="100"/>
    <s v="US"/>
    <x v="2"/>
  </r>
  <r>
    <x v="0"/>
    <s v="Data Scientist"/>
    <n v="87738"/>
    <s v="CA"/>
    <n v="100"/>
    <s v="CA"/>
    <x v="2"/>
  </r>
  <r>
    <x v="0"/>
    <s v="Data Scientist"/>
    <n v="88654"/>
    <s v="DE"/>
    <n v="50"/>
    <s v="DE"/>
    <x v="0"/>
  </r>
  <r>
    <x v="0"/>
    <s v="Data Scientist"/>
    <n v="135000"/>
    <s v="US"/>
    <n v="0"/>
    <s v="US"/>
    <x v="2"/>
  </r>
  <r>
    <x v="3"/>
    <s v="Data Analyst"/>
    <n v="71786"/>
    <s v="CA"/>
    <n v="100"/>
    <s v="CA"/>
    <x v="2"/>
  </r>
  <r>
    <x v="2"/>
    <s v="Big Data Engineer"/>
    <n v="16228"/>
    <s v="IN"/>
    <n v="100"/>
    <s v="IN"/>
    <x v="1"/>
  </r>
  <r>
    <x v="4"/>
    <s v="ML Engineer"/>
    <n v="256000"/>
    <s v="US"/>
    <n v="100"/>
    <s v="US"/>
    <x v="2"/>
  </r>
  <r>
    <x v="5"/>
    <s v="Director of Data Engineering"/>
    <n v="200000"/>
    <s v="US"/>
    <n v="100"/>
    <s v="US"/>
    <x v="2"/>
  </r>
  <r>
    <x v="3"/>
    <s v="Data Analyst"/>
    <n v="200000"/>
    <s v="US"/>
    <n v="100"/>
    <s v="US"/>
    <x v="2"/>
  </r>
  <r>
    <x v="2"/>
    <s v="Data Architect"/>
    <n v="180000"/>
    <s v="US"/>
    <n v="100"/>
    <s v="US"/>
    <x v="2"/>
  </r>
  <r>
    <x v="5"/>
    <s v="Head of Data Science"/>
    <n v="110000"/>
    <s v="US"/>
    <n v="0"/>
    <s v="US"/>
    <x v="2"/>
  </r>
  <r>
    <x v="1"/>
    <s v="Research Scientist"/>
    <n v="63810"/>
    <s v="CA"/>
    <n v="100"/>
    <s v="CA"/>
    <x v="2"/>
  </r>
  <r>
    <x v="0"/>
    <s v="Data Scientist"/>
    <n v="46809"/>
    <s v="ES"/>
    <n v="100"/>
    <s v="ES"/>
    <x v="0"/>
  </r>
  <r>
    <x v="0"/>
    <s v="Data Scientist"/>
    <n v="4000"/>
    <s v="VN"/>
    <n v="0"/>
    <s v="VN"/>
    <x v="1"/>
  </r>
  <r>
    <x v="2"/>
    <s v="Data Engineer"/>
    <n v="21637"/>
    <s v="IN"/>
    <n v="50"/>
    <s v="IN"/>
    <x v="1"/>
  </r>
  <r>
    <x v="0"/>
    <s v="Data Scientist"/>
    <n v="103691"/>
    <s v="CA"/>
    <n v="100"/>
    <s v="CA"/>
    <x v="2"/>
  </r>
  <r>
    <x v="3"/>
    <s v="Data Analyst"/>
    <n v="80000"/>
    <s v="US"/>
    <n v="100"/>
    <s v="US"/>
    <x v="2"/>
  </r>
  <r>
    <x v="2"/>
    <s v="Data Engineer"/>
    <n v="110000"/>
    <s v="US"/>
    <n v="100"/>
    <s v="US"/>
    <x v="2"/>
  </r>
  <r>
    <x v="0"/>
    <s v="Data Scientist"/>
    <n v="165000"/>
    <s v="US"/>
    <n v="100"/>
    <s v="US"/>
    <x v="2"/>
  </r>
  <r>
    <x v="0"/>
    <s v="AI Scientist"/>
    <n v="18053"/>
    <s v="IN"/>
    <n v="100"/>
    <s v="AS"/>
    <x v="3"/>
  </r>
  <r>
    <x v="2"/>
    <s v="Data Engineer"/>
    <n v="72212"/>
    <s v="GB"/>
    <n v="50"/>
    <s v="GB"/>
    <x v="0"/>
  </r>
  <r>
    <x v="0"/>
    <s v="Data Scientist"/>
    <n v="36643"/>
    <s v="FR"/>
    <n v="50"/>
    <s v="FR"/>
    <x v="0"/>
  </r>
  <r>
    <x v="2"/>
    <s v="Data Engineer"/>
    <n v="12103"/>
    <s v="TR"/>
    <n v="0"/>
    <s v="TR"/>
    <x v="0"/>
  </r>
  <r>
    <x v="2"/>
    <s v="Data Engineer"/>
    <n v="96282"/>
    <s v="GB"/>
    <n v="50"/>
    <s v="GB"/>
    <x v="0"/>
  </r>
  <r>
    <x v="3"/>
    <s v="Principal Data Analyst"/>
    <n v="170000"/>
    <s v="US"/>
    <n v="100"/>
    <s v="US"/>
    <x v="2"/>
  </r>
  <r>
    <x v="0"/>
    <s v="Data Scientist"/>
    <n v="115000"/>
    <s v="US"/>
    <n v="50"/>
    <s v="US"/>
    <x v="2"/>
  </r>
  <r>
    <x v="0"/>
    <s v="Data Scientist"/>
    <n v="90000"/>
    <s v="US"/>
    <n v="100"/>
    <s v="US"/>
    <x v="2"/>
  </r>
  <r>
    <x v="2"/>
    <s v="Principal Data Engineer"/>
    <n v="600000"/>
    <s v="US"/>
    <n v="100"/>
    <s v="US"/>
    <x v="2"/>
  </r>
  <r>
    <x v="0"/>
    <s v="Data Scientist"/>
    <n v="28399"/>
    <s v="IN"/>
    <n v="100"/>
    <s v="IN"/>
    <x v="1"/>
  </r>
  <r>
    <x v="3"/>
    <s v="Data Analyst"/>
    <n v="93000"/>
    <s v="US"/>
    <n v="100"/>
    <s v="US"/>
    <x v="2"/>
  </r>
  <r>
    <x v="2"/>
    <s v="Big Data Architect"/>
    <n v="99703"/>
    <s v="CA"/>
    <n v="50"/>
    <s v="CA"/>
    <x v="2"/>
  </r>
  <r>
    <x v="2"/>
    <s v="Data Engineer"/>
    <n v="200000"/>
    <s v="US"/>
    <n v="100"/>
    <s v="US"/>
    <x v="2"/>
  </r>
  <r>
    <x v="1"/>
    <s v="Principal Data Scientist"/>
    <n v="173762"/>
    <s v="DE"/>
    <n v="100"/>
    <s v="DE"/>
    <x v="0"/>
  </r>
  <r>
    <x v="4"/>
    <s v="Machine Learning Engineer"/>
    <n v="185000"/>
    <s v="US"/>
    <n v="50"/>
    <s v="US"/>
    <x v="2"/>
  </r>
  <r>
    <x v="5"/>
    <s v="Director of Data Science"/>
    <n v="141846"/>
    <s v="DE"/>
    <n v="0"/>
    <s v="DE"/>
    <x v="0"/>
  </r>
  <r>
    <x v="0"/>
    <s v="Data Scientist"/>
    <n v="130000"/>
    <s v="US"/>
    <n v="50"/>
    <s v="US"/>
    <x v="2"/>
  </r>
  <r>
    <x v="3"/>
    <s v="Data Analyst"/>
    <n v="63831"/>
    <s v="DE"/>
    <n v="50"/>
    <s v="DE"/>
    <x v="0"/>
  </r>
  <r>
    <x v="0"/>
    <s v="Data Scientist"/>
    <n v="16904"/>
    <s v="IN"/>
    <n v="100"/>
    <s v="IN"/>
    <x v="1"/>
  </r>
  <r>
    <x v="4"/>
    <s v="Machine Learning Engineer"/>
    <n v="66265"/>
    <s v="IN"/>
    <n v="0"/>
    <s v="IN"/>
    <x v="1"/>
  </r>
  <r>
    <x v="0"/>
    <s v="Data Scientist"/>
    <n v="25532"/>
    <s v="RS"/>
    <n v="100"/>
    <s v="DE"/>
    <x v="0"/>
  </r>
  <r>
    <x v="5"/>
    <s v="Lead Data Engineer"/>
    <n v="160000"/>
    <s v="PR"/>
    <n v="50"/>
    <s v="US"/>
    <x v="2"/>
  </r>
  <r>
    <x v="2"/>
    <s v="Data Engineer"/>
    <n v="93150"/>
    <s v="US"/>
    <n v="0"/>
    <s v="US"/>
    <x v="2"/>
  </r>
  <r>
    <x v="2"/>
    <s v="Data Engineer"/>
    <n v="111775"/>
    <s v="US"/>
    <n v="0"/>
    <s v="US"/>
    <x v="2"/>
  </r>
  <r>
    <x v="2"/>
    <s v="Data Engineer"/>
    <n v="28016"/>
    <s v="TR"/>
    <n v="100"/>
    <s v="TR"/>
    <x v="0"/>
  </r>
  <r>
    <x v="2"/>
    <s v="Data Engineer"/>
    <n v="65013"/>
    <s v="DE"/>
    <n v="50"/>
    <s v="DE"/>
    <x v="0"/>
  </r>
  <r>
    <x v="2"/>
    <s v="Data Engineer"/>
    <n v="72500"/>
    <s v="US"/>
    <n v="100"/>
    <s v="US"/>
    <x v="2"/>
  </r>
  <r>
    <x v="2"/>
    <s v="Computer Vision Engineer"/>
    <n v="18907"/>
    <s v="BR"/>
    <n v="0"/>
    <s v="BR"/>
    <x v="5"/>
  </r>
  <r>
    <x v="3"/>
    <s v="Data Science Consultant"/>
    <n v="76833"/>
    <s v="DE"/>
    <n v="0"/>
    <s v="DE"/>
    <x v="0"/>
  </r>
  <r>
    <x v="4"/>
    <s v="Machine Learning Engineer"/>
    <n v="85000"/>
    <s v="NL"/>
    <n v="100"/>
    <s v="DE"/>
    <x v="0"/>
  </r>
  <r>
    <x v="0"/>
    <s v="Data Scientist"/>
    <n v="77684"/>
    <s v="FR"/>
    <n v="50"/>
    <s v="FR"/>
    <x v="0"/>
  </r>
  <r>
    <x v="0"/>
    <s v="Data Scientist"/>
    <n v="100000"/>
    <s v="US"/>
    <n v="100"/>
    <s v="US"/>
    <x v="2"/>
  </r>
  <r>
    <x v="0"/>
    <s v="Data Scientist"/>
    <n v="58000"/>
    <s v="US"/>
    <n v="50"/>
    <s v="US"/>
    <x v="2"/>
  </r>
  <r>
    <x v="0"/>
    <s v="AI Scientist"/>
    <n v="55000"/>
    <s v="ES"/>
    <n v="100"/>
    <s v="ES"/>
    <x v="0"/>
  </r>
  <r>
    <x v="0"/>
    <s v="Data Scientist"/>
    <n v="20171"/>
    <s v="TR"/>
    <n v="50"/>
    <s v="TR"/>
    <x v="0"/>
  </r>
  <r>
    <x v="3"/>
    <s v="Business Data Analyst"/>
    <n v="59102"/>
    <s v="LU"/>
    <n v="100"/>
    <s v="LU"/>
    <x v="0"/>
  </r>
  <r>
    <x v="2"/>
    <s v="Data Engineer"/>
    <n v="112000"/>
    <s v="US"/>
    <n v="100"/>
    <s v="US"/>
    <x v="2"/>
  </r>
  <r>
    <x v="1"/>
    <s v="Research Scientist"/>
    <n v="100000"/>
    <s v="JE"/>
    <n v="0"/>
    <s v="CN"/>
    <x v="1"/>
  </r>
  <r>
    <x v="2"/>
    <s v="Data Engineer"/>
    <n v="69741"/>
    <s v="NL"/>
    <n v="100"/>
    <s v="NL"/>
    <x v="0"/>
  </r>
  <r>
    <x v="1"/>
    <s v="Staff Data Scientist"/>
    <n v="105000"/>
    <s v="US"/>
    <n v="100"/>
    <s v="US"/>
    <x v="2"/>
  </r>
  <r>
    <x v="1"/>
    <s v="Research Scientist"/>
    <n v="69999"/>
    <s v="CZ"/>
    <n v="50"/>
    <s v="CZ"/>
    <x v="0"/>
  </r>
  <r>
    <x v="5"/>
    <s v="Data Science Manager"/>
    <n v="94665"/>
    <s v="IN"/>
    <n v="50"/>
    <s v="IN"/>
    <x v="1"/>
  </r>
  <r>
    <x v="5"/>
    <s v="Head of Data"/>
    <n v="102839"/>
    <s v="SI"/>
    <n v="100"/>
    <s v="SI"/>
    <x v="0"/>
  </r>
  <r>
    <x v="0"/>
    <s v="Data Scientist"/>
    <n v="109000"/>
    <s v="US"/>
    <n v="50"/>
    <s v="US"/>
    <x v="2"/>
  </r>
  <r>
    <x v="4"/>
    <s v="Machine Learning Engineer"/>
    <n v="51064"/>
    <s v="IT"/>
    <n v="50"/>
    <s v="IT"/>
    <x v="0"/>
  </r>
  <r>
    <x v="2"/>
    <s v="Data Engineer"/>
    <n v="135000"/>
    <s v="US"/>
    <n v="100"/>
    <s v="US"/>
    <x v="2"/>
  </r>
  <r>
    <x v="3"/>
    <s v="Data Analyst"/>
    <n v="155000"/>
    <s v="US"/>
    <n v="100"/>
    <s v="US"/>
    <x v="2"/>
  </r>
  <r>
    <x v="3"/>
    <s v="Data Analyst"/>
    <n v="120600"/>
    <s v="US"/>
    <n v="100"/>
    <s v="US"/>
    <x v="2"/>
  </r>
  <r>
    <x v="0"/>
    <s v="Data Scientist"/>
    <n v="130000"/>
    <s v="US"/>
    <n v="0"/>
    <s v="US"/>
    <x v="2"/>
  </r>
  <r>
    <x v="0"/>
    <s v="Data Scientist"/>
    <n v="90000"/>
    <s v="US"/>
    <n v="0"/>
    <s v="US"/>
    <x v="2"/>
  </r>
  <r>
    <x v="2"/>
    <s v="Data Engineer"/>
    <n v="170000"/>
    <s v="US"/>
    <n v="100"/>
    <s v="US"/>
    <x v="2"/>
  </r>
  <r>
    <x v="2"/>
    <s v="Data Engineer"/>
    <n v="150000"/>
    <s v="US"/>
    <n v="100"/>
    <s v="US"/>
    <x v="2"/>
  </r>
  <r>
    <x v="3"/>
    <s v="Data Analyst"/>
    <n v="102100"/>
    <s v="US"/>
    <n v="100"/>
    <s v="US"/>
    <x v="2"/>
  </r>
  <r>
    <x v="3"/>
    <s v="Data Analyst"/>
    <n v="84900"/>
    <s v="US"/>
    <n v="100"/>
    <s v="US"/>
    <x v="2"/>
  </r>
  <r>
    <x v="0"/>
    <s v="Data Scientist"/>
    <n v="136620"/>
    <s v="US"/>
    <n v="100"/>
    <s v="US"/>
    <x v="2"/>
  </r>
  <r>
    <x v="0"/>
    <s v="Data Scientist"/>
    <n v="99360"/>
    <s v="US"/>
    <n v="100"/>
    <s v="US"/>
    <x v="2"/>
  </r>
  <r>
    <x v="0"/>
    <s v="Data Scientist"/>
    <n v="117789"/>
    <s v="GB"/>
    <n v="0"/>
    <s v="GB"/>
    <x v="0"/>
  </r>
  <r>
    <x v="0"/>
    <s v="Data Scientist"/>
    <n v="104702"/>
    <s v="GB"/>
    <n v="0"/>
    <s v="GB"/>
    <x v="0"/>
  </r>
  <r>
    <x v="0"/>
    <s v="Data Scientist"/>
    <n v="146000"/>
    <s v="US"/>
    <n v="100"/>
    <s v="US"/>
    <x v="2"/>
  </r>
  <r>
    <x v="0"/>
    <s v="Data Scientist"/>
    <n v="123000"/>
    <s v="US"/>
    <n v="100"/>
    <s v="US"/>
    <x v="2"/>
  </r>
  <r>
    <x v="2"/>
    <s v="Data Engineer"/>
    <n v="52351"/>
    <s v="GB"/>
    <n v="100"/>
    <s v="GB"/>
    <x v="0"/>
  </r>
  <r>
    <x v="3"/>
    <s v="Data Analyst"/>
    <n v="99000"/>
    <s v="US"/>
    <n v="0"/>
    <s v="US"/>
    <x v="2"/>
  </r>
  <r>
    <x v="3"/>
    <s v="Data Analyst"/>
    <n v="116000"/>
    <s v="US"/>
    <n v="0"/>
    <s v="US"/>
    <x v="2"/>
  </r>
  <r>
    <x v="3"/>
    <s v="Data Analyst"/>
    <n v="106260"/>
    <s v="US"/>
    <n v="0"/>
    <s v="US"/>
    <x v="2"/>
  </r>
  <r>
    <x v="3"/>
    <s v="Data Analyst"/>
    <n v="126500"/>
    <s v="US"/>
    <n v="0"/>
    <s v="US"/>
    <x v="2"/>
  </r>
  <r>
    <x v="2"/>
    <s v="Data Engineer"/>
    <n v="242000"/>
    <s v="US"/>
    <n v="100"/>
    <s v="US"/>
    <x v="2"/>
  </r>
  <r>
    <x v="2"/>
    <s v="Data Engineer"/>
    <n v="200000"/>
    <s v="US"/>
    <n v="100"/>
    <s v="US"/>
    <x v="2"/>
  </r>
  <r>
    <x v="0"/>
    <s v="Data Scientist"/>
    <n v="65438"/>
    <s v="GB"/>
    <n v="0"/>
    <s v="GB"/>
    <x v="0"/>
  </r>
  <r>
    <x v="0"/>
    <s v="Data Scientist"/>
    <n v="39263"/>
    <s v="GB"/>
    <n v="0"/>
    <s v="GB"/>
    <x v="0"/>
  </r>
  <r>
    <x v="2"/>
    <s v="Data Engineer"/>
    <n v="78526"/>
    <s v="GB"/>
    <n v="0"/>
    <s v="GB"/>
    <x v="0"/>
  </r>
  <r>
    <x v="2"/>
    <s v="Data Engineer"/>
    <n v="52351"/>
    <s v="GB"/>
    <n v="0"/>
    <s v="GB"/>
    <x v="0"/>
  </r>
  <r>
    <x v="0"/>
    <s v="Data Scientist"/>
    <n v="165220"/>
    <s v="US"/>
    <n v="100"/>
    <s v="US"/>
    <x v="2"/>
  </r>
  <r>
    <x v="2"/>
    <s v="Data Engineer"/>
    <n v="45807"/>
    <s v="GB"/>
    <n v="100"/>
    <s v="GB"/>
    <x v="0"/>
  </r>
  <r>
    <x v="0"/>
    <s v="Data Scientist"/>
    <n v="120160"/>
    <s v="US"/>
    <n v="100"/>
    <s v="US"/>
    <x v="2"/>
  </r>
  <r>
    <x v="3"/>
    <s v="Data Analyst"/>
    <n v="90320"/>
    <s v="US"/>
    <n v="100"/>
    <s v="US"/>
    <x v="2"/>
  </r>
  <r>
    <x v="2"/>
    <s v="Data Engineer"/>
    <n v="181940"/>
    <s v="US"/>
    <n v="0"/>
    <s v="US"/>
    <x v="2"/>
  </r>
  <r>
    <x v="2"/>
    <s v="Data Engineer"/>
    <n v="132320"/>
    <s v="US"/>
    <n v="0"/>
    <s v="US"/>
    <x v="2"/>
  </r>
  <r>
    <x v="2"/>
    <s v="Data Engineer"/>
    <n v="220110"/>
    <s v="US"/>
    <n v="0"/>
    <s v="US"/>
    <x v="2"/>
  </r>
  <r>
    <x v="2"/>
    <s v="Data Engineer"/>
    <n v="160080"/>
    <s v="US"/>
    <n v="0"/>
    <s v="US"/>
    <x v="2"/>
  </r>
  <r>
    <x v="0"/>
    <s v="Data Scientist"/>
    <n v="180000"/>
    <s v="US"/>
    <n v="0"/>
    <s v="US"/>
    <x v="2"/>
  </r>
  <r>
    <x v="0"/>
    <s v="Data Scientist"/>
    <n v="120000"/>
    <s v="US"/>
    <n v="0"/>
    <s v="US"/>
    <x v="2"/>
  </r>
  <r>
    <x v="3"/>
    <s v="Data Analyst"/>
    <n v="124190"/>
    <s v="US"/>
    <n v="100"/>
    <s v="US"/>
    <x v="2"/>
  </r>
  <r>
    <x v="3"/>
    <s v="Data Analyst"/>
    <n v="130000"/>
    <s v="US"/>
    <n v="100"/>
    <s v="US"/>
    <x v="2"/>
  </r>
  <r>
    <x v="3"/>
    <s v="Data Analyst"/>
    <n v="110000"/>
    <s v="US"/>
    <n v="100"/>
    <s v="US"/>
    <x v="2"/>
  </r>
  <r>
    <x v="3"/>
    <s v="Data Analyst"/>
    <n v="170000"/>
    <s v="US"/>
    <n v="100"/>
    <s v="US"/>
    <x v="2"/>
  </r>
  <r>
    <x v="3"/>
    <s v="Data Analyst"/>
    <n v="115500"/>
    <s v="US"/>
    <n v="100"/>
    <s v="US"/>
    <x v="2"/>
  </r>
  <r>
    <x v="3"/>
    <s v="Data Analyst"/>
    <n v="112900"/>
    <s v="US"/>
    <n v="100"/>
    <s v="US"/>
    <x v="2"/>
  </r>
  <r>
    <x v="3"/>
    <s v="Data Analyst"/>
    <n v="90320"/>
    <s v="US"/>
    <n v="100"/>
    <s v="US"/>
    <x v="2"/>
  </r>
  <r>
    <x v="3"/>
    <s v="Data Analyst"/>
    <n v="112900"/>
    <s v="US"/>
    <n v="100"/>
    <s v="US"/>
    <x v="2"/>
  </r>
  <r>
    <x v="3"/>
    <s v="Data Analyst"/>
    <n v="90320"/>
    <s v="US"/>
    <n v="100"/>
    <s v="US"/>
    <x v="2"/>
  </r>
  <r>
    <x v="2"/>
    <s v="Data Engineer"/>
    <n v="165400"/>
    <s v="US"/>
    <n v="100"/>
    <s v="US"/>
    <x v="2"/>
  </r>
  <r>
    <x v="2"/>
    <s v="Data Engineer"/>
    <n v="132320"/>
    <s v="US"/>
    <n v="100"/>
    <s v="US"/>
    <x v="2"/>
  </r>
  <r>
    <x v="3"/>
    <s v="Data Analyst"/>
    <n v="167000"/>
    <s v="US"/>
    <n v="100"/>
    <s v="US"/>
    <x v="2"/>
  </r>
  <r>
    <x v="2"/>
    <s v="Data Engineer"/>
    <n v="243900"/>
    <s v="US"/>
    <n v="100"/>
    <s v="US"/>
    <x v="2"/>
  </r>
  <r>
    <x v="3"/>
    <s v="Data Analyst"/>
    <n v="136600"/>
    <s v="US"/>
    <n v="100"/>
    <s v="US"/>
    <x v="2"/>
  </r>
  <r>
    <x v="3"/>
    <s v="Data Analyst"/>
    <n v="109280"/>
    <s v="US"/>
    <n v="100"/>
    <s v="US"/>
    <x v="2"/>
  </r>
  <r>
    <x v="2"/>
    <s v="Data Engineer"/>
    <n v="128875"/>
    <s v="US"/>
    <n v="100"/>
    <s v="US"/>
    <x v="2"/>
  </r>
  <r>
    <x v="2"/>
    <s v="Data Engineer"/>
    <n v="93700"/>
    <s v="US"/>
    <n v="100"/>
    <s v="US"/>
    <x v="2"/>
  </r>
  <r>
    <x v="5"/>
    <s v="Head of Data Science"/>
    <n v="224000"/>
    <s v="US"/>
    <n v="100"/>
    <s v="US"/>
    <x v="2"/>
  </r>
  <r>
    <x v="5"/>
    <s v="Head of Data Science"/>
    <n v="167875"/>
    <s v="US"/>
    <n v="100"/>
    <s v="US"/>
    <x v="2"/>
  </r>
  <r>
    <x v="2"/>
    <s v="Analytics Engineer"/>
    <n v="175000"/>
    <s v="US"/>
    <n v="100"/>
    <s v="US"/>
    <x v="2"/>
  </r>
  <r>
    <x v="2"/>
    <s v="Data Engineer"/>
    <n v="156600"/>
    <s v="US"/>
    <n v="100"/>
    <s v="US"/>
    <x v="2"/>
  </r>
  <r>
    <x v="2"/>
    <s v="Data Engineer"/>
    <n v="108800"/>
    <s v="US"/>
    <n v="0"/>
    <s v="US"/>
    <x v="2"/>
  </r>
  <r>
    <x v="0"/>
    <s v="Data Scientist"/>
    <n v="95550"/>
    <s v="US"/>
    <n v="0"/>
    <s v="US"/>
    <x v="2"/>
  </r>
  <r>
    <x v="2"/>
    <s v="Data Engineer"/>
    <n v="113000"/>
    <s v="US"/>
    <n v="0"/>
    <s v="US"/>
    <x v="2"/>
  </r>
  <r>
    <x v="3"/>
    <s v="Data Analyst"/>
    <n v="135000"/>
    <s v="US"/>
    <n v="100"/>
    <s v="US"/>
    <x v="2"/>
  </r>
  <r>
    <x v="5"/>
    <s v="Data Science Manager"/>
    <n v="161342"/>
    <s v="US"/>
    <n v="100"/>
    <s v="US"/>
    <x v="2"/>
  </r>
  <r>
    <x v="5"/>
    <s v="Data Science Manager"/>
    <n v="137141"/>
    <s v="US"/>
    <n v="100"/>
    <s v="US"/>
    <x v="2"/>
  </r>
  <r>
    <x v="0"/>
    <s v="Data Scientist"/>
    <n v="167000"/>
    <s v="US"/>
    <n v="100"/>
    <s v="US"/>
    <x v="2"/>
  </r>
  <r>
    <x v="0"/>
    <s v="Data Scientist"/>
    <n v="123000"/>
    <s v="US"/>
    <n v="100"/>
    <s v="US"/>
    <x v="2"/>
  </r>
  <r>
    <x v="2"/>
    <s v="Data Engineer"/>
    <n v="78526"/>
    <s v="GB"/>
    <n v="0"/>
    <s v="GB"/>
    <x v="0"/>
  </r>
  <r>
    <x v="2"/>
    <s v="Data Engineer"/>
    <n v="65438"/>
    <s v="GB"/>
    <n v="0"/>
    <s v="GB"/>
    <x v="0"/>
  </r>
  <r>
    <x v="0"/>
    <s v="Data Scientist"/>
    <n v="150000"/>
    <s v="US"/>
    <n v="0"/>
    <s v="US"/>
    <x v="2"/>
  </r>
  <r>
    <x v="0"/>
    <s v="Data Scientist"/>
    <n v="211500"/>
    <s v="US"/>
    <n v="100"/>
    <s v="US"/>
    <x v="2"/>
  </r>
  <r>
    <x v="2"/>
    <s v="Data Architect"/>
    <n v="192400"/>
    <s v="CA"/>
    <n v="100"/>
    <s v="CA"/>
    <x v="2"/>
  </r>
  <r>
    <x v="2"/>
    <s v="Data Architect"/>
    <n v="90700"/>
    <s v="CA"/>
    <n v="100"/>
    <s v="CA"/>
    <x v="2"/>
  </r>
  <r>
    <x v="3"/>
    <s v="Data Analyst"/>
    <n v="130000"/>
    <s v="CA"/>
    <n v="100"/>
    <s v="CA"/>
    <x v="2"/>
  </r>
  <r>
    <x v="3"/>
    <s v="Data Analyst"/>
    <n v="61300"/>
    <s v="CA"/>
    <n v="100"/>
    <s v="CA"/>
    <x v="2"/>
  </r>
  <r>
    <x v="3"/>
    <s v="Data Analyst"/>
    <n v="130000"/>
    <s v="CA"/>
    <n v="100"/>
    <s v="CA"/>
    <x v="2"/>
  </r>
  <r>
    <x v="3"/>
    <s v="Data Analyst"/>
    <n v="61300"/>
    <s v="CA"/>
    <n v="100"/>
    <s v="CA"/>
    <x v="2"/>
  </r>
  <r>
    <x v="2"/>
    <s v="Data Engineer"/>
    <n v="160000"/>
    <s v="US"/>
    <n v="0"/>
    <s v="US"/>
    <x v="2"/>
  </r>
  <r>
    <x v="0"/>
    <s v="Data Scientist"/>
    <n v="138600"/>
    <s v="US"/>
    <n v="100"/>
    <s v="US"/>
    <x v="2"/>
  </r>
  <r>
    <x v="2"/>
    <s v="Data Engineer"/>
    <n v="136000"/>
    <s v="US"/>
    <n v="0"/>
    <s v="US"/>
    <x v="2"/>
  </r>
  <r>
    <x v="3"/>
    <s v="Data Analyst"/>
    <n v="58000"/>
    <s v="US"/>
    <n v="0"/>
    <s v="US"/>
    <x v="2"/>
  </r>
  <r>
    <x v="2"/>
    <s v="Analytics Engineer"/>
    <n v="135000"/>
    <s v="US"/>
    <n v="100"/>
    <s v="US"/>
    <x v="2"/>
  </r>
  <r>
    <x v="0"/>
    <s v="Data Scientist"/>
    <n v="170000"/>
    <s v="US"/>
    <n v="100"/>
    <s v="US"/>
    <x v="2"/>
  </r>
  <r>
    <x v="0"/>
    <s v="Data Scientist"/>
    <n v="123000"/>
    <s v="US"/>
    <n v="100"/>
    <s v="US"/>
    <x v="2"/>
  </r>
  <r>
    <x v="4"/>
    <s v="Machine Learning Engineer"/>
    <n v="189650"/>
    <s v="US"/>
    <n v="0"/>
    <s v="US"/>
    <x v="2"/>
  </r>
  <r>
    <x v="4"/>
    <s v="Machine Learning Engineer"/>
    <n v="164996"/>
    <s v="US"/>
    <n v="0"/>
    <s v="US"/>
    <x v="2"/>
  </r>
  <r>
    <x v="2"/>
    <s v="ETL Developer"/>
    <n v="54957"/>
    <s v="GR"/>
    <n v="0"/>
    <s v="GR"/>
    <x v="0"/>
  </r>
  <r>
    <x v="2"/>
    <s v="ETL Developer"/>
    <n v="54957"/>
    <s v="GR"/>
    <n v="0"/>
    <s v="GR"/>
    <x v="0"/>
  </r>
  <r>
    <x v="5"/>
    <s v="Lead Data Engineer"/>
    <n v="118187"/>
    <s v="CA"/>
    <n v="100"/>
    <s v="CA"/>
    <x v="2"/>
  </r>
  <r>
    <x v="3"/>
    <s v="Data Analyst"/>
    <n v="132000"/>
    <s v="US"/>
    <n v="0"/>
    <s v="US"/>
    <x v="2"/>
  </r>
  <r>
    <x v="2"/>
    <s v="Data Engineer"/>
    <n v="165400"/>
    <s v="US"/>
    <n v="100"/>
    <s v="US"/>
    <x v="2"/>
  </r>
  <r>
    <x v="2"/>
    <s v="Data Architect"/>
    <n v="208775"/>
    <s v="US"/>
    <n v="100"/>
    <s v="US"/>
    <x v="2"/>
  </r>
  <r>
    <x v="2"/>
    <s v="Data Architect"/>
    <n v="147800"/>
    <s v="US"/>
    <n v="100"/>
    <s v="US"/>
    <x v="2"/>
  </r>
  <r>
    <x v="2"/>
    <s v="Data Engineer"/>
    <n v="136994"/>
    <s v="US"/>
    <n v="100"/>
    <s v="US"/>
    <x v="2"/>
  </r>
  <r>
    <x v="2"/>
    <s v="Data Engineer"/>
    <n v="101570"/>
    <s v="US"/>
    <n v="100"/>
    <s v="US"/>
    <x v="2"/>
  </r>
  <r>
    <x v="3"/>
    <s v="Data Analyst"/>
    <n v="128875"/>
    <s v="US"/>
    <n v="100"/>
    <s v="US"/>
    <x v="2"/>
  </r>
  <r>
    <x v="3"/>
    <s v="Data Analyst"/>
    <n v="93700"/>
    <s v="US"/>
    <n v="100"/>
    <s v="US"/>
    <x v="2"/>
  </r>
  <r>
    <x v="5"/>
    <s v="Head of Machine Learning"/>
    <n v="79039"/>
    <s v="IN"/>
    <n v="50"/>
    <s v="IN"/>
    <x v="1"/>
  </r>
  <r>
    <x v="2"/>
    <s v="Data Engineer"/>
    <n v="132320"/>
    <s v="US"/>
    <n v="100"/>
    <s v="US"/>
    <x v="2"/>
  </r>
  <r>
    <x v="4"/>
    <s v="Machine Learning Engineer"/>
    <n v="37300"/>
    <s v="GB"/>
    <n v="100"/>
    <s v="GB"/>
    <x v="0"/>
  </r>
  <r>
    <x v="3"/>
    <s v="Data Analyst"/>
    <n v="164000"/>
    <s v="US"/>
    <n v="0"/>
    <s v="US"/>
    <x v="2"/>
  </r>
  <r>
    <x v="2"/>
    <s v="Data Engineer"/>
    <n v="155000"/>
    <s v="US"/>
    <n v="100"/>
    <s v="US"/>
    <x v="2"/>
  </r>
  <r>
    <x v="4"/>
    <s v="Machine Learning Engineer"/>
    <n v="124333"/>
    <s v="GB"/>
    <n v="0"/>
    <s v="GB"/>
    <x v="0"/>
  </r>
  <r>
    <x v="4"/>
    <s v="Machine Learning Engineer"/>
    <n v="98158"/>
    <s v="GB"/>
    <n v="0"/>
    <s v="GB"/>
    <x v="0"/>
  </r>
  <r>
    <x v="0"/>
    <s v="AI Scientist"/>
    <n v="120000"/>
    <s v="US"/>
    <n v="0"/>
    <s v="US"/>
    <x v="2"/>
  </r>
  <r>
    <x v="3"/>
    <s v="Data Analyst"/>
    <n v="112900"/>
    <s v="US"/>
    <n v="100"/>
    <s v="US"/>
    <x v="2"/>
  </r>
  <r>
    <x v="3"/>
    <s v="Data Analyst"/>
    <n v="90320"/>
    <s v="US"/>
    <n v="100"/>
    <s v="US"/>
    <x v="2"/>
  </r>
  <r>
    <x v="5"/>
    <s v="Data Analytics Manager"/>
    <n v="145000"/>
    <s v="US"/>
    <n v="100"/>
    <s v="US"/>
    <x v="2"/>
  </r>
  <r>
    <x v="5"/>
    <s v="Data Analytics Manager"/>
    <n v="105400"/>
    <s v="US"/>
    <n v="100"/>
    <s v="US"/>
    <x v="2"/>
  </r>
  <r>
    <x v="4"/>
    <s v="Machine Learning Engineer"/>
    <n v="87932"/>
    <s v="FR"/>
    <n v="100"/>
    <s v="DE"/>
    <x v="0"/>
  </r>
  <r>
    <x v="2"/>
    <s v="Data Engineer"/>
    <n v="117789"/>
    <s v="GB"/>
    <n v="0"/>
    <s v="GB"/>
    <x v="0"/>
  </r>
  <r>
    <x v="0"/>
    <s v="Data Scientist"/>
    <n v="215300"/>
    <s v="US"/>
    <n v="100"/>
    <s v="US"/>
    <x v="2"/>
  </r>
  <r>
    <x v="0"/>
    <s v="Data Scientist"/>
    <n v="158200"/>
    <s v="US"/>
    <n v="100"/>
    <s v="US"/>
    <x v="2"/>
  </r>
  <r>
    <x v="2"/>
    <s v="Data Engineer"/>
    <n v="209100"/>
    <s v="US"/>
    <n v="100"/>
    <s v="US"/>
    <x v="2"/>
  </r>
  <r>
    <x v="2"/>
    <s v="Data Engineer"/>
    <n v="154600"/>
    <s v="US"/>
    <n v="100"/>
    <s v="US"/>
    <x v="2"/>
  </r>
  <r>
    <x v="3"/>
    <s v="Data Analyst"/>
    <n v="115934"/>
    <s v="US"/>
    <n v="0"/>
    <s v="US"/>
    <x v="2"/>
  </r>
  <r>
    <x v="3"/>
    <s v="Data Analyst"/>
    <n v="81666"/>
    <s v="US"/>
    <n v="0"/>
    <s v="US"/>
    <x v="2"/>
  </r>
  <r>
    <x v="2"/>
    <s v="Data Engineer"/>
    <n v="175000"/>
    <s v="US"/>
    <n v="100"/>
    <s v="US"/>
    <x v="2"/>
  </r>
  <r>
    <x v="2"/>
    <s v="Data Engineer"/>
    <n v="98158"/>
    <s v="GB"/>
    <n v="0"/>
    <s v="GB"/>
    <x v="0"/>
  </r>
  <r>
    <x v="3"/>
    <s v="Data Analyst"/>
    <n v="58000"/>
    <s v="US"/>
    <n v="0"/>
    <s v="US"/>
    <x v="2"/>
  </r>
  <r>
    <x v="2"/>
    <s v="Data Engineer"/>
    <n v="183600"/>
    <s v="US"/>
    <n v="100"/>
    <s v="US"/>
    <x v="2"/>
  </r>
  <r>
    <x v="3"/>
    <s v="Data Analyst"/>
    <n v="52351"/>
    <s v="GB"/>
    <n v="100"/>
    <s v="GB"/>
    <x v="0"/>
  </r>
  <r>
    <x v="0"/>
    <s v="Data Scientist"/>
    <n v="180000"/>
    <s v="US"/>
    <n v="100"/>
    <s v="US"/>
    <x v="2"/>
  </r>
  <r>
    <x v="0"/>
    <s v="Data Scientist"/>
    <n v="71982"/>
    <s v="GB"/>
    <n v="0"/>
    <s v="GB"/>
    <x v="0"/>
  </r>
  <r>
    <x v="0"/>
    <s v="Data Scientist"/>
    <n v="45807"/>
    <s v="GB"/>
    <n v="0"/>
    <s v="GB"/>
    <x v="0"/>
  </r>
  <r>
    <x v="2"/>
    <s v="Data Engineer"/>
    <n v="65949"/>
    <s v="GR"/>
    <n v="100"/>
    <s v="GR"/>
    <x v="0"/>
  </r>
  <r>
    <x v="2"/>
    <s v="Data Engineer"/>
    <n v="49461"/>
    <s v="GR"/>
    <n v="100"/>
    <s v="GR"/>
    <x v="0"/>
  </r>
  <r>
    <x v="2"/>
    <s v="Data Engineer"/>
    <n v="78526"/>
    <s v="GB"/>
    <n v="100"/>
    <s v="GB"/>
    <x v="0"/>
  </r>
  <r>
    <x v="2"/>
    <s v="Data Engineer"/>
    <n v="58894"/>
    <s v="GB"/>
    <n v="100"/>
    <s v="GB"/>
    <x v="0"/>
  </r>
  <r>
    <x v="0"/>
    <s v="Data Scientist"/>
    <n v="260000"/>
    <s v="US"/>
    <n v="100"/>
    <s v="US"/>
    <x v="2"/>
  </r>
  <r>
    <x v="2"/>
    <s v="Data Science Engineer"/>
    <n v="60000"/>
    <s v="AR"/>
    <n v="100"/>
    <s v="MX"/>
    <x v="2"/>
  </r>
  <r>
    <x v="2"/>
    <s v="Data Engineer"/>
    <n v="63900"/>
    <s v="US"/>
    <n v="0"/>
    <s v="US"/>
    <x v="2"/>
  </r>
  <r>
    <x v="1"/>
    <s v="Machine Learning Scientist"/>
    <n v="160000"/>
    <s v="US"/>
    <n v="100"/>
    <s v="US"/>
    <x v="2"/>
  </r>
  <r>
    <x v="1"/>
    <s v="Machine Learning Scientist"/>
    <n v="112300"/>
    <s v="US"/>
    <n v="100"/>
    <s v="US"/>
    <x v="2"/>
  </r>
  <r>
    <x v="5"/>
    <s v="Data Science Manager"/>
    <n v="241000"/>
    <s v="US"/>
    <n v="100"/>
    <s v="US"/>
    <x v="2"/>
  </r>
  <r>
    <x v="5"/>
    <s v="Data Science Manager"/>
    <n v="159000"/>
    <s v="US"/>
    <n v="100"/>
    <s v="US"/>
    <x v="2"/>
  </r>
  <r>
    <x v="0"/>
    <s v="Data Scientist"/>
    <n v="180000"/>
    <s v="US"/>
    <n v="0"/>
    <s v="US"/>
    <x v="2"/>
  </r>
  <r>
    <x v="0"/>
    <s v="Data Scientist"/>
    <n v="80000"/>
    <s v="US"/>
    <n v="0"/>
    <s v="US"/>
    <x v="2"/>
  </r>
  <r>
    <x v="2"/>
    <s v="Data Engineer"/>
    <n v="82900"/>
    <s v="US"/>
    <n v="0"/>
    <s v="US"/>
    <x v="2"/>
  </r>
  <r>
    <x v="2"/>
    <s v="Data Engineer"/>
    <n v="100800"/>
    <s v="US"/>
    <n v="100"/>
    <s v="US"/>
    <x v="2"/>
  </r>
  <r>
    <x v="2"/>
    <s v="Data Engineer"/>
    <n v="49461"/>
    <s v="ES"/>
    <n v="100"/>
    <s v="ES"/>
    <x v="0"/>
  </r>
  <r>
    <x v="0"/>
    <s v="Data Scientist"/>
    <n v="140400"/>
    <s v="US"/>
    <n v="0"/>
    <s v="US"/>
    <x v="2"/>
  </r>
  <r>
    <x v="3"/>
    <s v="Data Analyst"/>
    <n v="39263"/>
    <s v="GB"/>
    <n v="100"/>
    <s v="GB"/>
    <x v="0"/>
  </r>
  <r>
    <x v="3"/>
    <s v="Data Analyst"/>
    <n v="43966"/>
    <s v="ES"/>
    <n v="100"/>
    <s v="ES"/>
    <x v="0"/>
  </r>
  <r>
    <x v="3"/>
    <s v="Data Analyst"/>
    <n v="32974"/>
    <s v="ES"/>
    <n v="100"/>
    <s v="ES"/>
    <x v="0"/>
  </r>
  <r>
    <x v="2"/>
    <s v="Data Engineer"/>
    <n v="87932"/>
    <s v="ES"/>
    <n v="100"/>
    <s v="ES"/>
    <x v="0"/>
  </r>
  <r>
    <x v="2"/>
    <s v="Data Engineer"/>
    <n v="76940"/>
    <s v="ES"/>
    <n v="100"/>
    <s v="ES"/>
    <x v="0"/>
  </r>
  <r>
    <x v="2"/>
    <s v="Data Engineer"/>
    <n v="104702"/>
    <s v="GB"/>
    <n v="100"/>
    <s v="GB"/>
    <x v="0"/>
  </r>
  <r>
    <x v="2"/>
    <s v="Data Engineer"/>
    <n v="91614"/>
    <s v="GB"/>
    <n v="100"/>
    <s v="GB"/>
    <x v="0"/>
  </r>
  <r>
    <x v="2"/>
    <s v="Data Engineer"/>
    <n v="65949"/>
    <s v="ES"/>
    <n v="100"/>
    <s v="ES"/>
    <x v="0"/>
  </r>
  <r>
    <x v="2"/>
    <s v="Data Engineer"/>
    <n v="87932"/>
    <s v="GR"/>
    <n v="100"/>
    <s v="GR"/>
    <x v="0"/>
  </r>
  <r>
    <x v="4"/>
    <s v="Machine Learning Engineer"/>
    <n v="189650"/>
    <s v="US"/>
    <n v="0"/>
    <s v="US"/>
    <x v="2"/>
  </r>
  <r>
    <x v="4"/>
    <s v="Machine Learning Engineer"/>
    <n v="164996"/>
    <s v="US"/>
    <n v="0"/>
    <s v="US"/>
    <x v="2"/>
  </r>
  <r>
    <x v="3"/>
    <s v="Data Analyst"/>
    <n v="43966"/>
    <s v="GR"/>
    <n v="100"/>
    <s v="GR"/>
    <x v="0"/>
  </r>
  <r>
    <x v="3"/>
    <s v="Data Analyst"/>
    <n v="32974"/>
    <s v="GR"/>
    <n v="100"/>
    <s v="GR"/>
    <x v="0"/>
  </r>
  <r>
    <x v="2"/>
    <s v="Data Engineer"/>
    <n v="98158"/>
    <s v="GB"/>
    <n v="100"/>
    <s v="GB"/>
    <x v="0"/>
  </r>
  <r>
    <x v="2"/>
    <s v="Data Engineer"/>
    <n v="78526"/>
    <s v="GB"/>
    <n v="100"/>
    <s v="GB"/>
    <x v="0"/>
  </r>
  <r>
    <x v="0"/>
    <s v="Data Scientist"/>
    <n v="215300"/>
    <s v="US"/>
    <n v="0"/>
    <s v="US"/>
    <x v="2"/>
  </r>
  <r>
    <x v="2"/>
    <s v="Data Engineer"/>
    <n v="76940"/>
    <s v="GR"/>
    <n v="100"/>
    <s v="GR"/>
    <x v="0"/>
  </r>
  <r>
    <x v="2"/>
    <s v="Data Engineer"/>
    <n v="209100"/>
    <s v="US"/>
    <n v="100"/>
    <s v="US"/>
    <x v="2"/>
  </r>
  <r>
    <x v="2"/>
    <s v="Data Engineer"/>
    <n v="154600"/>
    <s v="US"/>
    <n v="100"/>
    <s v="US"/>
    <x v="2"/>
  </r>
  <r>
    <x v="2"/>
    <s v="Data Engineer"/>
    <n v="180000"/>
    <s v="US"/>
    <n v="100"/>
    <s v="US"/>
    <x v="2"/>
  </r>
  <r>
    <x v="4"/>
    <s v="ML Engineer"/>
    <n v="21983"/>
    <s v="PT"/>
    <n v="100"/>
    <s v="PT"/>
    <x v="0"/>
  </r>
  <r>
    <x v="2"/>
    <s v="Data Engineer"/>
    <n v="80000"/>
    <s v="US"/>
    <n v="100"/>
    <s v="US"/>
    <x v="2"/>
  </r>
  <r>
    <x v="4"/>
    <s v="Machine Learning Developer"/>
    <n v="78791"/>
    <s v="CA"/>
    <n v="100"/>
    <s v="CA"/>
    <x v="2"/>
  </r>
  <r>
    <x v="5"/>
    <s v="Director of Data Science"/>
    <n v="196979"/>
    <s v="CA"/>
    <n v="50"/>
    <s v="CA"/>
    <x v="2"/>
  </r>
  <r>
    <x v="4"/>
    <s v="Machine Learning Engineer"/>
    <n v="120000"/>
    <s v="US"/>
    <n v="100"/>
    <s v="US"/>
    <x v="2"/>
  </r>
  <r>
    <x v="2"/>
    <s v="Computer Vision Engineer"/>
    <n v="125000"/>
    <s v="US"/>
    <n v="0"/>
    <s v="US"/>
    <x v="2"/>
  </r>
  <r>
    <x v="4"/>
    <s v="NLP Engineer"/>
    <n v="37236"/>
    <s v="US"/>
    <n v="50"/>
    <s v="US"/>
    <x v="2"/>
  </r>
  <r>
    <x v="2"/>
    <s v="Data Engineer"/>
    <n v="105000"/>
    <s v="US"/>
    <n v="100"/>
    <s v="US"/>
    <x v="2"/>
  </r>
  <r>
    <x v="5"/>
    <s v="Lead Machine Learning Engineer"/>
    <n v="87932"/>
    <s v="DE"/>
    <n v="0"/>
    <s v="DE"/>
    <x v="0"/>
  </r>
  <r>
    <x v="3"/>
    <s v="Business Data Analyst"/>
    <n v="18442"/>
    <s v="IN"/>
    <n v="100"/>
    <s v="IN"/>
    <x v="1"/>
  </r>
  <r>
    <x v="0"/>
    <s v="Data Scientist"/>
    <n v="31615"/>
    <s v="IN"/>
    <n v="100"/>
    <s v="IN"/>
    <x v="1"/>
  </r>
  <r>
    <x v="4"/>
    <s v="Machine Learning Infrastructure Engineer"/>
    <n v="58255"/>
    <s v="PT"/>
    <n v="50"/>
    <s v="PT"/>
    <x v="0"/>
  </r>
  <r>
    <x v="3"/>
    <s v="Financial Data Analyst"/>
    <n v="100000"/>
    <s v="US"/>
    <n v="50"/>
    <s v="US"/>
    <x v="2"/>
  </r>
  <r>
    <x v="2"/>
    <s v="Data Engineer"/>
    <n v="54957"/>
    <s v="DE"/>
    <n v="50"/>
    <s v="DE"/>
    <x v="0"/>
  </r>
  <r>
    <x v="0"/>
    <s v="Data Scientist"/>
    <n v="18442"/>
    <s v="IN"/>
    <n v="100"/>
    <s v="IN"/>
    <x v="1"/>
  </r>
  <r>
    <x v="1"/>
    <s v="Principal Data Scientist"/>
    <n v="162674"/>
    <s v="DE"/>
    <n v="100"/>
    <s v="DE"/>
    <x v="0"/>
  </r>
  <r>
    <x v="2"/>
    <s v="Data Engineer"/>
    <n v="120000"/>
    <s v="US"/>
    <n v="100"/>
    <s v="US"/>
    <x v="2"/>
  </r>
  <r>
    <x v="1"/>
    <s v="Research Scientist"/>
    <n v="144000"/>
    <s v="US"/>
    <n v="50"/>
    <s v="US"/>
    <x v="2"/>
  </r>
  <r>
    <x v="0"/>
    <s v="Data Scientist"/>
    <n v="104890"/>
    <s v="US"/>
    <n v="100"/>
    <s v="US"/>
    <x v="2"/>
  </r>
  <r>
    <x v="2"/>
    <s v="Data Engineer"/>
    <n v="100000"/>
    <s v="US"/>
    <n v="100"/>
    <s v="US"/>
    <x v="2"/>
  </r>
  <r>
    <x v="0"/>
    <s v="Data Scientist"/>
    <n v="140000"/>
    <s v="US"/>
    <n v="100"/>
    <s v="US"/>
    <x v="2"/>
  </r>
  <r>
    <x v="3"/>
    <s v="Data Analyst"/>
    <n v="135000"/>
    <s v="US"/>
    <n v="100"/>
    <s v="US"/>
    <x v="2"/>
  </r>
  <r>
    <x v="3"/>
    <s v="Data Analyst"/>
    <n v="50000"/>
    <s v="US"/>
    <n v="100"/>
    <s v="US"/>
    <x v="2"/>
  </r>
  <r>
    <x v="0"/>
    <s v="Data Scientist"/>
    <n v="220000"/>
    <s v="US"/>
    <n v="100"/>
    <s v="US"/>
    <x v="2"/>
  </r>
  <r>
    <x v="0"/>
    <s v="Data Scientist"/>
    <n v="140000"/>
    <s v="US"/>
    <n v="100"/>
    <s v="US"/>
    <x v="2"/>
  </r>
  <r>
    <x v="0"/>
    <s v="Data Scientist"/>
    <n v="183228"/>
    <s v="GB"/>
    <n v="0"/>
    <s v="GB"/>
    <x v="0"/>
  </r>
  <r>
    <x v="0"/>
    <s v="Data Scientist"/>
    <n v="91614"/>
    <s v="GB"/>
    <n v="0"/>
    <s v="GB"/>
    <x v="0"/>
  </r>
  <r>
    <x v="0"/>
    <s v="Data Scientist"/>
    <n v="185100"/>
    <s v="US"/>
    <n v="100"/>
    <s v="US"/>
    <x v="2"/>
  </r>
  <r>
    <x v="4"/>
    <s v="Machine Learning Engineer"/>
    <n v="220000"/>
    <s v="US"/>
    <n v="100"/>
    <s v="US"/>
    <x v="2"/>
  </r>
  <r>
    <x v="0"/>
    <s v="Data Scientist"/>
    <n v="200000"/>
    <s v="US"/>
    <n v="100"/>
    <s v="US"/>
    <x v="2"/>
  </r>
  <r>
    <x v="0"/>
    <s v="Data Scientist"/>
    <n v="120000"/>
    <s v="US"/>
    <n v="100"/>
    <s v="US"/>
    <x v="2"/>
  </r>
  <r>
    <x v="4"/>
    <s v="Machine Learning Engineer"/>
    <n v="120000"/>
    <s v="AE"/>
    <n v="100"/>
    <s v="AE"/>
    <x v="1"/>
  </r>
  <r>
    <x v="4"/>
    <s v="Machine Learning Engineer"/>
    <n v="65000"/>
    <s v="AE"/>
    <n v="100"/>
    <s v="AE"/>
    <x v="1"/>
  </r>
  <r>
    <x v="2"/>
    <s v="Data Engineer"/>
    <n v="324000"/>
    <s v="US"/>
    <n v="100"/>
    <s v="US"/>
    <x v="2"/>
  </r>
  <r>
    <x v="2"/>
    <s v="Data Engineer"/>
    <n v="216000"/>
    <s v="US"/>
    <n v="100"/>
    <s v="US"/>
    <x v="2"/>
  </r>
  <r>
    <x v="2"/>
    <s v="Data Engineer"/>
    <n v="210000"/>
    <s v="US"/>
    <n v="100"/>
    <s v="US"/>
    <x v="2"/>
  </r>
  <r>
    <x v="4"/>
    <s v="Machine Learning Engineer"/>
    <n v="120000"/>
    <s v="US"/>
    <n v="100"/>
    <s v="US"/>
    <x v="2"/>
  </r>
  <r>
    <x v="0"/>
    <s v="Data Scientist"/>
    <n v="230000"/>
    <s v="US"/>
    <n v="100"/>
    <s v="US"/>
    <x v="2"/>
  </r>
  <r>
    <x v="0"/>
    <s v="Data Scientist"/>
    <n v="100000"/>
    <s v="DZ"/>
    <n v="50"/>
    <s v="DZ"/>
    <x v="4"/>
  </r>
  <r>
    <x v="0"/>
    <s v="Data Scientist"/>
    <n v="100000"/>
    <s v="CA"/>
    <n v="100"/>
    <s v="US"/>
    <x v="2"/>
  </r>
  <r>
    <x v="0"/>
    <s v="Applied Machine Learning Scientist"/>
    <n v="31875"/>
    <s v="TN"/>
    <n v="100"/>
    <s v="CZ"/>
    <x v="0"/>
  </r>
  <r>
    <x v="5"/>
    <s v="Head of Data"/>
    <n v="200000"/>
    <s v="MY"/>
    <n v="100"/>
    <s v="US"/>
    <x v="2"/>
  </r>
  <r>
    <x v="3"/>
    <s v="Principal Data Analyst"/>
    <n v="75000"/>
    <s v="CA"/>
    <n v="100"/>
    <s v="CA"/>
    <x v="2"/>
  </r>
  <r>
    <x v="0"/>
    <s v="Data Scientist"/>
    <n v="35590"/>
    <s v="PL"/>
    <n v="100"/>
    <s v="PL"/>
    <x v="0"/>
  </r>
  <r>
    <x v="4"/>
    <s v="Machine Learning Developer"/>
    <n v="78791"/>
    <s v="CA"/>
    <n v="100"/>
    <s v="CA"/>
    <x v="2"/>
  </r>
  <r>
    <x v="0"/>
    <s v="Data Scientist"/>
    <n v="100000"/>
    <s v="BR"/>
    <n v="100"/>
    <s v="US"/>
    <x v="2"/>
  </r>
  <r>
    <x v="1"/>
    <s v="Machine Learning Scientist"/>
    <n v="153000"/>
    <s v="US"/>
    <n v="50"/>
    <s v="US"/>
    <x v="2"/>
  </r>
  <r>
    <x v="2"/>
    <s v="Data Engineer"/>
    <n v="58035"/>
    <s v="PK"/>
    <n v="100"/>
    <s v="DE"/>
    <x v="0"/>
  </r>
  <r>
    <x v="0"/>
    <s v="Data Scientist"/>
    <n v="165000"/>
    <s v="US"/>
    <n v="100"/>
    <s v="US"/>
    <x v="2"/>
  </r>
  <r>
    <x v="1"/>
    <s v="Research Scientist"/>
    <n v="93427"/>
    <s v="FR"/>
    <n v="50"/>
    <s v="FR"/>
    <x v="0"/>
  </r>
  <r>
    <x v="0"/>
    <s v="Data Scientist"/>
    <n v="52396"/>
    <s v="CA"/>
    <n v="100"/>
    <s v="CA"/>
    <x v="2"/>
  </r>
  <r>
    <x v="4"/>
    <s v="Machine Learning Engineer"/>
    <n v="62651"/>
    <s v="NL"/>
    <n v="100"/>
    <s v="NL"/>
    <x v="0"/>
  </r>
  <r>
    <x v="5"/>
    <s v="Head of Data"/>
    <n v="32974"/>
    <s v="EE"/>
    <n v="100"/>
    <s v="EE"/>
    <x v="0"/>
  </r>
  <r>
    <x v="0"/>
    <s v="Data Scientist"/>
    <n v="40000"/>
    <s v="JP"/>
    <n v="100"/>
    <s v="MY"/>
    <x v="1"/>
  </r>
  <r>
    <x v="4"/>
    <s v="Machine Learning Engineer"/>
    <n v="87425"/>
    <s v="AU"/>
    <n v="100"/>
    <s v="AU"/>
    <x v="3"/>
  </r>
  <r>
    <x v="2"/>
    <s v="Data Engineer"/>
    <n v="115000"/>
    <s v="US"/>
    <n v="100"/>
    <s v="US"/>
    <x v="2"/>
  </r>
  <r>
    <x v="0"/>
    <s v="Data Scientist"/>
    <n v="86703"/>
    <s v="AU"/>
    <n v="50"/>
    <s v="AU"/>
    <x v="3"/>
  </r>
  <r>
    <x v="0"/>
    <s v="Applied Machine Learning Scientist"/>
    <n v="75000"/>
    <s v="BO"/>
    <n v="100"/>
    <s v="US"/>
    <x v="2"/>
  </r>
  <r>
    <x v="1"/>
    <s v="Research Scientist"/>
    <n v="64849"/>
    <s v="AT"/>
    <n v="0"/>
    <s v="AT"/>
    <x v="0"/>
  </r>
  <r>
    <x v="1"/>
    <s v="Research Scientist"/>
    <n v="120000"/>
    <s v="US"/>
    <n v="100"/>
    <s v="US"/>
    <x v="2"/>
  </r>
  <r>
    <x v="0"/>
    <s v="Applied Data Scientist"/>
    <n v="157000"/>
    <s v="US"/>
    <n v="100"/>
    <s v="US"/>
    <x v="2"/>
  </r>
  <r>
    <x v="6"/>
    <s v="Computer Vision Software Engineer"/>
    <n v="150000"/>
    <s v="AU"/>
    <n v="100"/>
    <s v="AU"/>
    <x v="3"/>
  </r>
  <r>
    <x v="3"/>
    <s v="Business Data Analyst"/>
    <n v="70912"/>
    <s v="CA"/>
    <n v="50"/>
    <s v="CA"/>
    <x v="2"/>
  </r>
  <r>
    <x v="2"/>
    <s v="Data Engineer"/>
    <n v="65000"/>
    <s v="US"/>
    <n v="100"/>
    <s v="US"/>
    <x v="2"/>
  </r>
  <r>
    <x v="4"/>
    <s v="Machine Learning Engineer"/>
    <n v="71444"/>
    <s v="IE"/>
    <n v="100"/>
    <s v="IE"/>
    <x v="0"/>
  </r>
  <r>
    <x v="3"/>
    <s v="Data Analytics Engineer"/>
    <n v="20000"/>
    <s v="PK"/>
    <n v="0"/>
    <s v="PK"/>
    <x v="1"/>
  </r>
  <r>
    <x v="0"/>
    <s v="Data Scientist"/>
    <n v="48000"/>
    <s v="RU"/>
    <n v="100"/>
    <s v="US"/>
    <x v="2"/>
  </r>
  <r>
    <x v="5"/>
    <s v="Data Science Manager"/>
    <n v="152500"/>
    <s v="US"/>
    <n v="100"/>
    <s v="US"/>
    <x v="2"/>
  </r>
  <r>
    <x v="2"/>
    <s v="Data Engineer"/>
    <n v="68147"/>
    <s v="FR"/>
    <n v="100"/>
    <s v="FR"/>
    <x v="0"/>
  </r>
  <r>
    <x v="0"/>
    <s v="Data Scientist"/>
    <n v="122346"/>
    <s v="CH"/>
    <n v="0"/>
    <s v="CH"/>
    <x v="0"/>
  </r>
  <r>
    <x v="0"/>
    <s v="Applied Data Scientist"/>
    <n v="380000"/>
    <s v="US"/>
    <n v="100"/>
    <s v="US"/>
    <x v="2"/>
  </r>
  <r>
    <x v="0"/>
    <s v="Data Scientist"/>
    <n v="69336"/>
    <s v="CA"/>
    <n v="100"/>
    <s v="CA"/>
    <x v="2"/>
  </r>
  <r>
    <x v="2"/>
    <s v="Computer Vision Engineer"/>
    <n v="10000"/>
    <s v="PT"/>
    <n v="100"/>
    <s v="LU"/>
    <x v="0"/>
  </r>
  <r>
    <x v="3"/>
    <s v="Data Analyst"/>
    <n v="20000"/>
    <s v="GR"/>
    <n v="100"/>
    <s v="GR"/>
    <x v="0"/>
  </r>
  <r>
    <x v="5"/>
    <s v="Data Analytics Lead"/>
    <n v="405000"/>
    <s v="US"/>
    <n v="100"/>
    <s v="US"/>
    <x v="2"/>
  </r>
  <r>
    <x v="0"/>
    <s v="Data Scientist"/>
    <n v="135000"/>
    <s v="US"/>
    <n v="100"/>
    <s v="US"/>
    <x v="2"/>
  </r>
  <r>
    <x v="0"/>
    <s v="Applied Data Scientist"/>
    <n v="177000"/>
    <s v="US"/>
    <n v="100"/>
    <s v="US"/>
    <x v="2"/>
  </r>
  <r>
    <x v="0"/>
    <s v="Data Scientist"/>
    <n v="78000"/>
    <s v="US"/>
    <n v="100"/>
    <s v="US"/>
    <x v="2"/>
  </r>
  <r>
    <x v="3"/>
    <s v="Data Analyst"/>
    <n v="135000"/>
    <s v="US"/>
    <n v="100"/>
    <s v="US"/>
    <x v="2"/>
  </r>
  <r>
    <x v="3"/>
    <s v="Data Analyst"/>
    <n v="100000"/>
    <s v="US"/>
    <n v="100"/>
    <s v="US"/>
    <x v="2"/>
  </r>
  <r>
    <x v="3"/>
    <s v="Data Analyst"/>
    <n v="90320"/>
    <s v="US"/>
    <n v="100"/>
    <s v="US"/>
    <x v="2"/>
  </r>
  <r>
    <x v="3"/>
    <s v="Data Analyst"/>
    <n v="85000"/>
    <s v="CA"/>
    <n v="0"/>
    <s v="CA"/>
    <x v="2"/>
  </r>
  <r>
    <x v="3"/>
    <s v="Data Analyst"/>
    <n v="75000"/>
    <s v="CA"/>
    <n v="0"/>
    <s v="CA"/>
    <x v="2"/>
  </r>
  <r>
    <x v="4"/>
    <s v="Machine Learning Engineer"/>
    <n v="214000"/>
    <s v="US"/>
    <n v="100"/>
    <s v="US"/>
    <x v="2"/>
  </r>
  <r>
    <x v="4"/>
    <s v="Machine Learning Engineer"/>
    <n v="192600"/>
    <s v="US"/>
    <n v="100"/>
    <s v="US"/>
    <x v="2"/>
  </r>
  <r>
    <x v="2"/>
    <s v="Data Architect"/>
    <n v="266400"/>
    <s v="US"/>
    <n v="100"/>
    <s v="US"/>
    <x v="2"/>
  </r>
  <r>
    <x v="2"/>
    <s v="Data Architect"/>
    <n v="213120"/>
    <s v="US"/>
    <n v="100"/>
    <s v="US"/>
    <x v="2"/>
  </r>
  <r>
    <x v="3"/>
    <s v="Data Analyst"/>
    <n v="112900"/>
    <s v="US"/>
    <n v="100"/>
    <s v="US"/>
    <x v="2"/>
  </r>
  <r>
    <x v="2"/>
    <s v="Data Engineer"/>
    <n v="155000"/>
    <s v="US"/>
    <n v="100"/>
    <s v="US"/>
    <x v="2"/>
  </r>
  <r>
    <x v="0"/>
    <s v="Data Scientist"/>
    <n v="141300"/>
    <s v="US"/>
    <n v="0"/>
    <s v="US"/>
    <x v="2"/>
  </r>
  <r>
    <x v="0"/>
    <s v="Data Scientist"/>
    <n v="102100"/>
    <s v="US"/>
    <n v="0"/>
    <s v="US"/>
    <x v="2"/>
  </r>
  <r>
    <x v="3"/>
    <s v="Data Analyst"/>
    <n v="115934"/>
    <s v="US"/>
    <n v="100"/>
    <s v="US"/>
    <x v="2"/>
  </r>
  <r>
    <x v="3"/>
    <s v="Data Analyst"/>
    <n v="81666"/>
    <s v="US"/>
    <n v="100"/>
    <s v="US"/>
    <x v="2"/>
  </r>
  <r>
    <x v="2"/>
    <s v="Data Engineer"/>
    <n v="206699"/>
    <s v="US"/>
    <n v="0"/>
    <s v="US"/>
    <x v="2"/>
  </r>
  <r>
    <x v="2"/>
    <s v="Data Engineer"/>
    <n v="99100"/>
    <s v="US"/>
    <n v="0"/>
    <s v="US"/>
    <x v="2"/>
  </r>
  <r>
    <x v="2"/>
    <s v="Data Engineer"/>
    <n v="130000"/>
    <s v="US"/>
    <n v="100"/>
    <s v="US"/>
    <x v="2"/>
  </r>
  <r>
    <x v="2"/>
    <s v="Data Engineer"/>
    <n v="115000"/>
    <s v="US"/>
    <n v="100"/>
    <s v="US"/>
    <x v="2"/>
  </r>
  <r>
    <x v="2"/>
    <s v="Data Engineer"/>
    <n v="110500"/>
    <s v="US"/>
    <n v="100"/>
    <s v="US"/>
    <x v="2"/>
  </r>
  <r>
    <x v="2"/>
    <s v="Data Engineer"/>
    <n v="130000"/>
    <s v="US"/>
    <n v="100"/>
    <s v="US"/>
    <x v="2"/>
  </r>
  <r>
    <x v="3"/>
    <s v="Data Analyst"/>
    <n v="99050"/>
    <s v="US"/>
    <n v="100"/>
    <s v="US"/>
    <x v="2"/>
  </r>
  <r>
    <x v="2"/>
    <s v="Data Engineer"/>
    <n v="160000"/>
    <s v="US"/>
    <n v="100"/>
    <s v="US"/>
    <x v="2"/>
  </r>
  <r>
    <x v="0"/>
    <s v="Data Scientist"/>
    <n v="205300"/>
    <s v="US"/>
    <n v="0"/>
    <s v="US"/>
    <x v="2"/>
  </r>
  <r>
    <x v="0"/>
    <s v="Data Scientist"/>
    <n v="140400"/>
    <s v="US"/>
    <n v="0"/>
    <s v="US"/>
    <x v="2"/>
  </r>
  <r>
    <x v="0"/>
    <s v="Data Scientist"/>
    <n v="176000"/>
    <s v="US"/>
    <n v="100"/>
    <s v="US"/>
    <x v="2"/>
  </r>
  <r>
    <x v="0"/>
    <s v="Data Scientist"/>
    <n v="144000"/>
    <s v="US"/>
    <n v="100"/>
    <s v="US"/>
    <x v="2"/>
  </r>
  <r>
    <x v="2"/>
    <s v="Data Engineer"/>
    <n v="200100"/>
    <s v="US"/>
    <n v="100"/>
    <s v="US"/>
    <x v="2"/>
  </r>
  <r>
    <x v="2"/>
    <s v="Data Engineer"/>
    <n v="160000"/>
    <s v="US"/>
    <n v="100"/>
    <s v="US"/>
    <x v="2"/>
  </r>
  <r>
    <x v="2"/>
    <s v="Data Engineer"/>
    <n v="145000"/>
    <s v="US"/>
    <n v="100"/>
    <s v="US"/>
    <x v="2"/>
  </r>
  <r>
    <x v="2"/>
    <s v="Data Engineer"/>
    <n v="70500"/>
    <s v="US"/>
    <n v="0"/>
    <s v="US"/>
    <x v="2"/>
  </r>
  <r>
    <x v="0"/>
    <s v="Data Scientist"/>
    <n v="205300"/>
    <s v="US"/>
    <n v="0"/>
    <s v="US"/>
    <x v="2"/>
  </r>
  <r>
    <x v="0"/>
    <s v="Data Scientist"/>
    <n v="140400"/>
    <s v="US"/>
    <n v="0"/>
    <s v="US"/>
    <x v="2"/>
  </r>
  <r>
    <x v="2"/>
    <s v="Analytics Engineer"/>
    <n v="205300"/>
    <s v="US"/>
    <n v="0"/>
    <s v="US"/>
    <x v="2"/>
  </r>
  <r>
    <x v="2"/>
    <s v="Analytics Engineer"/>
    <n v="184700"/>
    <s v="US"/>
    <n v="0"/>
    <s v="US"/>
    <x v="2"/>
  </r>
  <r>
    <x v="2"/>
    <s v="Data Engineer"/>
    <n v="175100"/>
    <s v="US"/>
    <n v="100"/>
    <s v="US"/>
    <x v="2"/>
  </r>
  <r>
    <x v="2"/>
    <s v="Data Engineer"/>
    <n v="140250"/>
    <s v="US"/>
    <n v="100"/>
    <s v="US"/>
    <x v="2"/>
  </r>
  <r>
    <x v="3"/>
    <s v="Data Analyst"/>
    <n v="116150"/>
    <s v="US"/>
    <n v="100"/>
    <s v="US"/>
    <x v="2"/>
  </r>
  <r>
    <x v="2"/>
    <s v="Data Engineer"/>
    <n v="54000"/>
    <s v="US"/>
    <n v="0"/>
    <s v="US"/>
    <x v="2"/>
  </r>
  <r>
    <x v="3"/>
    <s v="Data Analyst"/>
    <n v="170000"/>
    <s v="US"/>
    <n v="100"/>
    <s v="US"/>
    <x v="2"/>
  </r>
  <r>
    <x v="3"/>
    <s v="Data Analyst"/>
    <n v="65438"/>
    <s v="GB"/>
    <n v="0"/>
    <s v="GB"/>
    <x v="0"/>
  </r>
  <r>
    <x v="3"/>
    <s v="Data Analyst"/>
    <n v="80000"/>
    <s v="US"/>
    <n v="100"/>
    <s v="US"/>
    <x v="2"/>
  </r>
  <r>
    <x v="0"/>
    <s v="Data Scientist"/>
    <n v="140000"/>
    <s v="US"/>
    <n v="100"/>
    <s v="US"/>
    <x v="2"/>
  </r>
  <r>
    <x v="0"/>
    <s v="Data Scientist"/>
    <n v="210000"/>
    <s v="US"/>
    <n v="100"/>
    <s v="US"/>
    <x v="2"/>
  </r>
  <r>
    <x v="0"/>
    <s v="Data Scientist"/>
    <n v="140000"/>
    <s v="US"/>
    <n v="100"/>
    <s v="US"/>
    <x v="2"/>
  </r>
  <r>
    <x v="3"/>
    <s v="Data Analyst"/>
    <n v="100000"/>
    <s v="US"/>
    <n v="100"/>
    <s v="US"/>
    <x v="2"/>
  </r>
  <r>
    <x v="3"/>
    <s v="Data Analyst"/>
    <n v="69000"/>
    <s v="US"/>
    <n v="100"/>
    <s v="US"/>
    <x v="2"/>
  </r>
  <r>
    <x v="0"/>
    <s v="Data Scientist"/>
    <n v="210000"/>
    <s v="US"/>
    <n v="100"/>
    <s v="US"/>
    <x v="2"/>
  </r>
  <r>
    <x v="0"/>
    <s v="Data Scientist"/>
    <n v="140000"/>
    <s v="US"/>
    <n v="100"/>
    <s v="US"/>
    <x v="2"/>
  </r>
  <r>
    <x v="0"/>
    <s v="Data Scientist"/>
    <n v="210000"/>
    <s v="US"/>
    <n v="100"/>
    <s v="US"/>
    <x v="2"/>
  </r>
  <r>
    <x v="3"/>
    <s v="Data Analyst"/>
    <n v="150075"/>
    <s v="US"/>
    <n v="100"/>
    <s v="US"/>
    <x v="2"/>
  </r>
  <r>
    <x v="2"/>
    <s v="Data Engineer"/>
    <n v="100000"/>
    <s v="US"/>
    <n v="100"/>
    <s v="US"/>
    <x v="2"/>
  </r>
  <r>
    <x v="2"/>
    <s v="Data Engineer"/>
    <n v="25000"/>
    <s v="US"/>
    <n v="100"/>
    <s v="US"/>
    <x v="2"/>
  </r>
  <r>
    <x v="3"/>
    <s v="Data Analyst"/>
    <n v="126500"/>
    <s v="US"/>
    <n v="100"/>
    <s v="US"/>
    <x v="2"/>
  </r>
  <r>
    <x v="3"/>
    <s v="Data Analyst"/>
    <n v="106260"/>
    <s v="US"/>
    <n v="100"/>
    <s v="US"/>
    <x v="2"/>
  </r>
  <r>
    <x v="2"/>
    <s v="Data Engineer"/>
    <n v="220110"/>
    <s v="US"/>
    <n v="100"/>
    <s v="US"/>
    <x v="2"/>
  </r>
  <r>
    <x v="2"/>
    <s v="Data Engineer"/>
    <n v="160080"/>
    <s v="US"/>
    <n v="100"/>
    <s v="US"/>
    <x v="2"/>
  </r>
  <r>
    <x v="3"/>
    <s v="Data Analyst"/>
    <n v="105000"/>
    <s v="US"/>
    <n v="100"/>
    <s v="US"/>
    <x v="2"/>
  </r>
  <r>
    <x v="3"/>
    <s v="Data Analyst"/>
    <n v="110925"/>
    <s v="US"/>
    <n v="100"/>
    <s v="US"/>
    <x v="2"/>
  </r>
  <r>
    <x v="3"/>
    <s v="Data Analyst"/>
    <n v="45807"/>
    <s v="GB"/>
    <n v="0"/>
    <s v="GB"/>
    <x v="0"/>
  </r>
  <r>
    <x v="0"/>
    <s v="Data Scientist"/>
    <n v="140000"/>
    <s v="US"/>
    <n v="100"/>
    <s v="US"/>
    <x v="2"/>
  </r>
  <r>
    <x v="3"/>
    <s v="Data Analyst"/>
    <n v="99000"/>
    <s v="US"/>
    <n v="0"/>
    <s v="US"/>
    <x v="2"/>
  </r>
  <r>
    <x v="3"/>
    <s v="Data Analyst"/>
    <n v="60000"/>
    <s v="US"/>
    <n v="100"/>
    <s v="US"/>
    <x v="2"/>
  </r>
  <r>
    <x v="2"/>
    <s v="Data Architect"/>
    <n v="192564"/>
    <s v="US"/>
    <n v="100"/>
    <s v="US"/>
    <x v="2"/>
  </r>
  <r>
    <x v="2"/>
    <s v="Data Architect"/>
    <n v="144854"/>
    <s v="US"/>
    <n v="100"/>
    <s v="US"/>
    <x v="2"/>
  </r>
  <r>
    <x v="0"/>
    <s v="Data Scientist"/>
    <n v="230000"/>
    <s v="US"/>
    <n v="100"/>
    <s v="US"/>
    <x v="2"/>
  </r>
  <r>
    <x v="0"/>
    <s v="Data Scientist"/>
    <n v="150000"/>
    <s v="US"/>
    <n v="100"/>
    <s v="US"/>
    <x v="2"/>
  </r>
  <r>
    <x v="5"/>
    <s v="Data Analytics Manager"/>
    <n v="150260"/>
    <s v="US"/>
    <n v="100"/>
    <s v="US"/>
    <x v="2"/>
  </r>
  <r>
    <x v="5"/>
    <s v="Data Analytics Manager"/>
    <n v="109280"/>
    <s v="US"/>
    <n v="100"/>
    <s v="US"/>
    <x v="2"/>
  </r>
  <r>
    <x v="0"/>
    <s v="Data Scientist"/>
    <n v="210000"/>
    <s v="US"/>
    <n v="100"/>
    <s v="US"/>
    <x v="2"/>
  </r>
  <r>
    <x v="3"/>
    <s v="Data Analyst"/>
    <n v="170000"/>
    <s v="US"/>
    <n v="100"/>
    <s v="US"/>
    <x v="2"/>
  </r>
  <r>
    <x v="0"/>
    <s v="Data Scientist"/>
    <n v="160000"/>
    <s v="US"/>
    <n v="100"/>
    <s v="US"/>
    <x v="2"/>
  </r>
  <r>
    <x v="0"/>
    <s v="Data Scientist"/>
    <n v="130000"/>
    <s v="US"/>
    <n v="100"/>
    <s v="US"/>
    <x v="2"/>
  </r>
  <r>
    <x v="3"/>
    <s v="Data Analyst"/>
    <n v="67000"/>
    <s v="CA"/>
    <n v="0"/>
    <s v="CA"/>
    <x v="2"/>
  </r>
  <r>
    <x v="3"/>
    <s v="Data Analyst"/>
    <n v="52000"/>
    <s v="CA"/>
    <n v="0"/>
    <s v="CA"/>
    <x v="2"/>
  </r>
  <r>
    <x v="2"/>
    <s v="Data Engineer"/>
    <n v="154000"/>
    <s v="US"/>
    <n v="100"/>
    <s v="US"/>
    <x v="2"/>
  </r>
  <r>
    <x v="2"/>
    <s v="Data Engineer"/>
    <n v="126000"/>
    <s v="US"/>
    <n v="100"/>
    <s v="US"/>
    <x v="2"/>
  </r>
  <r>
    <x v="3"/>
    <s v="Data Analyst"/>
    <n v="129000"/>
    <s v="US"/>
    <n v="0"/>
    <s v="US"/>
    <x v="2"/>
  </r>
  <r>
    <x v="3"/>
    <s v="Data Analyst"/>
    <n v="150000"/>
    <s v="US"/>
    <n v="100"/>
    <s v="US"/>
    <x v="2"/>
  </r>
  <r>
    <x v="0"/>
    <s v="AI Scientist"/>
    <n v="200000"/>
    <s v="IN"/>
    <n v="100"/>
    <s v="US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8A87B4-29CA-4C12-95B7-ED027AB1B2C9}" name="PivotTable18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Region">
  <location ref="A55:I63" firstHeaderRow="1" firstDataRow="2" firstDataCol="1"/>
  <pivotFields count="7">
    <pivotField axis="axisCol" showAll="0">
      <items count="8">
        <item x="6"/>
        <item x="3"/>
        <item x="2"/>
        <item x="0"/>
        <item x="4"/>
        <item x="5"/>
        <item x="1"/>
        <item t="default"/>
      </items>
    </pivotField>
    <pivotField dataField="1" showAll="0"/>
    <pivotField showAll="0"/>
    <pivotField showAll="0"/>
    <pivotField showAll="0"/>
    <pivotField showAll="0"/>
    <pivotField axis="axisRow" showAll="0">
      <items count="7">
        <item x="4"/>
        <item x="1"/>
        <item x="0"/>
        <item x="2"/>
        <item x="3"/>
        <item x="5"/>
        <item t="default"/>
      </items>
    </pivotField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Jobs over the years in different regions" fld="1" subtotal="count" baseField="0" baseItem="0"/>
  </dataFields>
  <chartFormats count="2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5A5ED-D2B4-4BD7-A2BE-4F9BE809373A}" name="PivotTable15" cacheId="3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5" rowHeaderCaption="Year">
  <location ref="A37:H41" firstHeaderRow="1" firstDataRow="2" firstDataCol="1"/>
  <pivotFields count="5">
    <pivotField axis="axisRow" numFmtId="49" showAll="0">
      <items count="4">
        <item x="0"/>
        <item x="1"/>
        <item x="2"/>
        <item t="default"/>
      </items>
    </pivotField>
    <pivotField showAll="0"/>
    <pivotField showAll="0"/>
    <pivotField showAll="0"/>
    <pivotField axis="axisCol" dataField="1" showAll="0">
      <items count="8">
        <item x="6"/>
        <item x="3"/>
        <item x="2"/>
        <item x="0"/>
        <item x="4"/>
        <item x="5"/>
        <item x="1"/>
        <item t="default"/>
      </items>
    </pivotField>
  </pivotFields>
  <rowFields count="1">
    <field x="0"/>
  </rowFields>
  <rowItems count="3">
    <i>
      <x/>
    </i>
    <i>
      <x v="1"/>
    </i>
    <i>
      <x v="2"/>
    </i>
  </rowItems>
  <colFields count="1">
    <field x="4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dataFields count="1">
    <dataField name="Increase in jobs as per category " fld="4" subtotal="count" baseField="0" baseItem="0"/>
  </dataFields>
  <chartFormats count="1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037664-7157-4CD0-BF9C-C565FAD1139C}" name="PivotTable12" cacheId="3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4" rowHeaderCaption="Experience Level">
  <location ref="N2:O6" firstHeaderRow="1" firstDataRow="1" firstDataCol="1"/>
  <pivotFields count="12">
    <pivotField numFmtId="49"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>
      <x v="3"/>
    </i>
  </rowItems>
  <colItems count="1">
    <i/>
  </colItems>
  <dataFields count="1">
    <dataField name="Average Salary" fld="5" subtotal="average" baseField="1" baseItem="0" numFmtId="164"/>
  </dataFields>
  <formats count="1">
    <format dxfId="5">
      <pivotArea outline="0" collapsedLevelsAreSubtotals="1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830DB-D158-4A65-9DAA-92AC25B12DE2}" name="PivotTable11" cacheId="3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0" rowHeaderCaption="Year">
  <location ref="A18:D22" firstHeaderRow="1" firstDataRow="2" firstDataCol="1"/>
  <pivotFields count="12">
    <pivotField axis="axisRow" numFmtId="49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Col" showAll="0">
      <items count="4">
        <item x="0"/>
        <item x="2"/>
        <item x="1"/>
        <item t="default"/>
      </items>
    </pivotField>
  </pivotFields>
  <rowFields count="1">
    <field x="0"/>
  </rowFields>
  <rowItems count="3">
    <i>
      <x/>
    </i>
    <i>
      <x v="1"/>
    </i>
    <i>
      <x v="2"/>
    </i>
  </rowItems>
  <colFields count="1">
    <field x="11"/>
  </colFields>
  <colItems count="3">
    <i>
      <x/>
    </i>
    <i>
      <x v="1"/>
    </i>
    <i>
      <x v="2"/>
    </i>
  </colItems>
  <dataFields count="1">
    <dataField name="Average Ration of Remote Work" fld="8" subtotal="average" baseField="0" baseItem="0" numFmtId="1"/>
  </dataFields>
  <formats count="1">
    <format dxfId="6">
      <pivotArea outline="0" collapsedLevelsAreSubtotals="1" fieldPosition="0"/>
    </format>
  </formats>
  <chartFormats count="6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9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BE7587-059F-4012-BB5C-D438D80FF089}" name="PivotTable8" cacheId="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6" rowHeaderCaption="Year">
  <location ref="A3:B6" firstHeaderRow="1" firstDataRow="1" firstDataCol="1" rowPageCount="1" colPageCount="1"/>
  <pivotFields count="12">
    <pivotField axis="axisRow" showAll="0">
      <items count="5">
        <item x="0"/>
        <item x="1"/>
        <item x="2"/>
        <item h="1" x="3"/>
        <item t="default"/>
      </items>
    </pivotField>
    <pivotField showAll="0"/>
    <pivotField showAll="0"/>
    <pivotField showAll="0"/>
    <pivotField axis="axisPage" showAll="0">
      <items count="9">
        <item x="6"/>
        <item x="3"/>
        <item x="2"/>
        <item x="0"/>
        <item x="4"/>
        <item x="5"/>
        <item x="1"/>
        <item x="7"/>
        <item t="default"/>
      </items>
    </pivotField>
    <pivotField showAll="0">
      <items count="52">
        <item x="24"/>
        <item x="19"/>
        <item x="44"/>
        <item x="26"/>
        <item x="35"/>
        <item x="12"/>
        <item x="42"/>
        <item x="2"/>
        <item x="7"/>
        <item x="28"/>
        <item x="20"/>
        <item x="30"/>
        <item x="5"/>
        <item x="25"/>
        <item x="49"/>
        <item x="36"/>
        <item x="39"/>
        <item x="10"/>
        <item x="16"/>
        <item x="11"/>
        <item x="32"/>
        <item x="22"/>
        <item x="0"/>
        <item x="38"/>
        <item x="31"/>
        <item x="13"/>
        <item x="45"/>
        <item x="40"/>
        <item x="29"/>
        <item x="23"/>
        <item x="37"/>
        <item x="46"/>
        <item x="9"/>
        <item x="8"/>
        <item x="6"/>
        <item x="48"/>
        <item x="34"/>
        <item x="4"/>
        <item x="17"/>
        <item x="15"/>
        <item x="1"/>
        <item x="27"/>
        <item x="18"/>
        <item x="47"/>
        <item x="41"/>
        <item x="33"/>
        <item x="21"/>
        <item x="3"/>
        <item x="14"/>
        <item x="43"/>
        <item x="50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3">
    <i>
      <x/>
    </i>
    <i>
      <x v="1"/>
    </i>
    <i>
      <x v="2"/>
    </i>
  </rowItems>
  <colItems count="1">
    <i/>
  </colItems>
  <pageFields count="1">
    <pageField fld="4" item="1" hier="-1"/>
  </pageFields>
  <dataFields count="1">
    <dataField name="Average Salary" fld="6" subtotal="average" baseField="0" baseItem="0" numFmtId="164"/>
  </dataFields>
  <formats count="1">
    <format dxfId="7">
      <pivotArea outline="0" collapsedLevelsAreSubtotals="1" fieldPosition="0"/>
    </format>
  </format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late">
  <a:themeElements>
    <a:clrScheme name="Slate">
      <a:dk1>
        <a:sysClr val="windowText" lastClr="000000"/>
      </a:dk1>
      <a:lt1>
        <a:sysClr val="window" lastClr="FFFFFF"/>
      </a:lt1>
      <a:dk2>
        <a:srgbClr val="212123"/>
      </a:dk2>
      <a:lt2>
        <a:srgbClr val="DADADA"/>
      </a:lt2>
      <a:accent1>
        <a:srgbClr val="BC451B"/>
      </a:accent1>
      <a:accent2>
        <a:srgbClr val="D3BA68"/>
      </a:accent2>
      <a:accent3>
        <a:srgbClr val="BB8640"/>
      </a:accent3>
      <a:accent4>
        <a:srgbClr val="AD9277"/>
      </a:accent4>
      <a:accent5>
        <a:srgbClr val="A55A43"/>
      </a:accent5>
      <a:accent6>
        <a:srgbClr val="AD9D7B"/>
      </a:accent6>
      <a:hlink>
        <a:srgbClr val="E98052"/>
      </a:hlink>
      <a:folHlink>
        <a:srgbClr val="F4B69B"/>
      </a:folHlink>
    </a:clrScheme>
    <a:fontScheme name="Slate">
      <a:majorFont>
        <a:latin typeface="Calisto MT" panose="02040603050505030304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listo MT" panose="02040603050505030304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ate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10000"/>
              </a:schemeClr>
            </a:gs>
            <a:gs pos="100000">
              <a:schemeClr val="phClr">
                <a:tint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90000"/>
                <a:lumMod val="90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shade val="9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63500" dist="25400" dir="5400000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a:effectStyle>
      </a:effectStyleLst>
      <a:bgFillStyleLst>
        <a:solidFill>
          <a:schemeClr val="phClr"/>
        </a:solidFill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shade val="80000"/>
                <a:lumMod val="80000"/>
              </a:schemeClr>
              <a:schemeClr val="phClr">
                <a:tint val="98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ate" id="{C3F70B94-7CE9-428E-ADC1-3269CC2C3385}" vid="{3F2DE9A5-64E6-437C-A389-CC4477E817E8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608"/>
  <sheetViews>
    <sheetView workbookViewId="0">
      <selection activeCell="A4" sqref="A4"/>
    </sheetView>
  </sheetViews>
  <sheetFormatPr defaultRowHeight="15" x14ac:dyDescent="0.2"/>
  <sheetData>
    <row r="1" spans="1:12" ht="14.25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</row>
    <row r="2" spans="1:12" ht="14.25" x14ac:dyDescent="0.2">
      <c r="A2">
        <v>0</v>
      </c>
      <c r="B2">
        <v>2020</v>
      </c>
      <c r="C2" t="s">
        <v>11</v>
      </c>
      <c r="D2" t="s">
        <v>12</v>
      </c>
      <c r="E2" t="s">
        <v>13</v>
      </c>
      <c r="F2">
        <v>70000</v>
      </c>
      <c r="G2" t="s">
        <v>14</v>
      </c>
      <c r="H2">
        <v>79833</v>
      </c>
      <c r="I2" t="s">
        <v>15</v>
      </c>
      <c r="J2">
        <v>0</v>
      </c>
      <c r="K2" t="s">
        <v>15</v>
      </c>
      <c r="L2" t="s">
        <v>16</v>
      </c>
    </row>
    <row r="3" spans="1:12" ht="14.25" x14ac:dyDescent="0.2">
      <c r="A3">
        <v>1</v>
      </c>
      <c r="B3">
        <v>2020</v>
      </c>
      <c r="C3" t="s">
        <v>17</v>
      </c>
      <c r="D3" t="s">
        <v>12</v>
      </c>
      <c r="E3" t="s">
        <v>18</v>
      </c>
      <c r="F3">
        <v>260000</v>
      </c>
      <c r="G3" t="s">
        <v>19</v>
      </c>
      <c r="H3">
        <v>260000</v>
      </c>
      <c r="I3" t="s">
        <v>20</v>
      </c>
      <c r="J3">
        <v>0</v>
      </c>
      <c r="K3" t="s">
        <v>20</v>
      </c>
      <c r="L3" t="s">
        <v>21</v>
      </c>
    </row>
    <row r="4" spans="1:12" ht="14.25" x14ac:dyDescent="0.2">
      <c r="A4">
        <v>2</v>
      </c>
      <c r="B4">
        <v>2020</v>
      </c>
      <c r="C4" t="s">
        <v>17</v>
      </c>
      <c r="D4" t="s">
        <v>12</v>
      </c>
      <c r="E4" t="s">
        <v>22</v>
      </c>
      <c r="F4">
        <v>85000</v>
      </c>
      <c r="G4" t="s">
        <v>23</v>
      </c>
      <c r="H4">
        <v>109024</v>
      </c>
      <c r="I4" t="s">
        <v>24</v>
      </c>
      <c r="J4">
        <v>50</v>
      </c>
      <c r="K4" t="s">
        <v>24</v>
      </c>
      <c r="L4" t="s">
        <v>25</v>
      </c>
    </row>
    <row r="5" spans="1:12" ht="14.25" x14ac:dyDescent="0.2">
      <c r="A5">
        <v>3</v>
      </c>
      <c r="B5">
        <v>2020</v>
      </c>
      <c r="C5" t="s">
        <v>11</v>
      </c>
      <c r="D5" t="s">
        <v>12</v>
      </c>
      <c r="E5" t="s">
        <v>26</v>
      </c>
      <c r="F5">
        <v>20000</v>
      </c>
      <c r="G5" t="s">
        <v>19</v>
      </c>
      <c r="H5">
        <v>20000</v>
      </c>
      <c r="I5" t="s">
        <v>27</v>
      </c>
      <c r="J5">
        <v>0</v>
      </c>
      <c r="K5" t="s">
        <v>27</v>
      </c>
      <c r="L5" t="s">
        <v>21</v>
      </c>
    </row>
    <row r="6" spans="1:12" ht="14.25" x14ac:dyDescent="0.2">
      <c r="A6">
        <v>4</v>
      </c>
      <c r="B6">
        <v>2020</v>
      </c>
      <c r="C6" t="s">
        <v>17</v>
      </c>
      <c r="D6" t="s">
        <v>12</v>
      </c>
      <c r="E6" t="s">
        <v>28</v>
      </c>
      <c r="F6">
        <v>150000</v>
      </c>
      <c r="G6" t="s">
        <v>19</v>
      </c>
      <c r="H6">
        <v>150000</v>
      </c>
      <c r="I6" t="s">
        <v>29</v>
      </c>
      <c r="J6">
        <v>50</v>
      </c>
      <c r="K6" t="s">
        <v>29</v>
      </c>
      <c r="L6" t="s">
        <v>16</v>
      </c>
    </row>
    <row r="7" spans="1:12" ht="14.25" x14ac:dyDescent="0.2">
      <c r="A7">
        <v>5</v>
      </c>
      <c r="B7">
        <v>2020</v>
      </c>
      <c r="C7" t="s">
        <v>30</v>
      </c>
      <c r="D7" t="s">
        <v>12</v>
      </c>
      <c r="E7" t="s">
        <v>31</v>
      </c>
      <c r="F7">
        <v>72000</v>
      </c>
      <c r="G7" t="s">
        <v>19</v>
      </c>
      <c r="H7">
        <v>72000</v>
      </c>
      <c r="I7" t="s">
        <v>29</v>
      </c>
      <c r="J7">
        <v>100</v>
      </c>
      <c r="K7" t="s">
        <v>29</v>
      </c>
      <c r="L7" t="s">
        <v>16</v>
      </c>
    </row>
    <row r="8" spans="1:12" ht="14.25" x14ac:dyDescent="0.2">
      <c r="A8">
        <v>6</v>
      </c>
      <c r="B8">
        <v>2020</v>
      </c>
      <c r="C8" t="s">
        <v>17</v>
      </c>
      <c r="D8" t="s">
        <v>12</v>
      </c>
      <c r="E8" t="s">
        <v>32</v>
      </c>
      <c r="F8">
        <v>190000</v>
      </c>
      <c r="G8" t="s">
        <v>19</v>
      </c>
      <c r="H8">
        <v>190000</v>
      </c>
      <c r="I8" t="s">
        <v>29</v>
      </c>
      <c r="J8">
        <v>100</v>
      </c>
      <c r="K8" t="s">
        <v>29</v>
      </c>
      <c r="L8" t="s">
        <v>21</v>
      </c>
    </row>
    <row r="9" spans="1:12" ht="14.25" x14ac:dyDescent="0.2">
      <c r="A9">
        <v>7</v>
      </c>
      <c r="B9">
        <v>2020</v>
      </c>
      <c r="C9" t="s">
        <v>11</v>
      </c>
      <c r="D9" t="s">
        <v>12</v>
      </c>
      <c r="E9" t="s">
        <v>13</v>
      </c>
      <c r="F9">
        <v>11000000</v>
      </c>
      <c r="G9" t="s">
        <v>33</v>
      </c>
      <c r="H9">
        <v>35735</v>
      </c>
      <c r="I9" t="s">
        <v>34</v>
      </c>
      <c r="J9">
        <v>50</v>
      </c>
      <c r="K9" t="s">
        <v>34</v>
      </c>
      <c r="L9" t="s">
        <v>16</v>
      </c>
    </row>
    <row r="10" spans="1:12" ht="14.25" x14ac:dyDescent="0.2">
      <c r="A10">
        <v>8</v>
      </c>
      <c r="B10">
        <v>2020</v>
      </c>
      <c r="C10" t="s">
        <v>11</v>
      </c>
      <c r="D10" t="s">
        <v>12</v>
      </c>
      <c r="E10" t="s">
        <v>35</v>
      </c>
      <c r="F10">
        <v>135000</v>
      </c>
      <c r="G10" t="s">
        <v>19</v>
      </c>
      <c r="H10">
        <v>135000</v>
      </c>
      <c r="I10" t="s">
        <v>29</v>
      </c>
      <c r="J10">
        <v>100</v>
      </c>
      <c r="K10" t="s">
        <v>29</v>
      </c>
      <c r="L10" t="s">
        <v>16</v>
      </c>
    </row>
    <row r="11" spans="1:12" ht="14.25" x14ac:dyDescent="0.2">
      <c r="A11">
        <v>9</v>
      </c>
      <c r="B11">
        <v>2020</v>
      </c>
      <c r="C11" t="s">
        <v>17</v>
      </c>
      <c r="D11" t="s">
        <v>12</v>
      </c>
      <c r="E11" t="s">
        <v>36</v>
      </c>
      <c r="F11">
        <v>125000</v>
      </c>
      <c r="G11" t="s">
        <v>19</v>
      </c>
      <c r="H11">
        <v>125000</v>
      </c>
      <c r="I11" t="s">
        <v>37</v>
      </c>
      <c r="J11">
        <v>50</v>
      </c>
      <c r="K11" t="s">
        <v>37</v>
      </c>
      <c r="L11" t="s">
        <v>21</v>
      </c>
    </row>
    <row r="12" spans="1:12" ht="14.25" x14ac:dyDescent="0.2">
      <c r="A12">
        <v>10</v>
      </c>
      <c r="B12">
        <v>2020</v>
      </c>
      <c r="C12" t="s">
        <v>30</v>
      </c>
      <c r="D12" t="s">
        <v>12</v>
      </c>
      <c r="E12" t="s">
        <v>13</v>
      </c>
      <c r="F12">
        <v>45000</v>
      </c>
      <c r="G12" t="s">
        <v>14</v>
      </c>
      <c r="H12">
        <v>51321</v>
      </c>
      <c r="I12" t="s">
        <v>38</v>
      </c>
      <c r="J12">
        <v>0</v>
      </c>
      <c r="K12" t="s">
        <v>38</v>
      </c>
      <c r="L12" t="s">
        <v>21</v>
      </c>
    </row>
    <row r="13" spans="1:12" ht="14.25" x14ac:dyDescent="0.2">
      <c r="A13">
        <v>11</v>
      </c>
      <c r="B13">
        <v>2020</v>
      </c>
      <c r="C13" t="s">
        <v>11</v>
      </c>
      <c r="D13" t="s">
        <v>12</v>
      </c>
      <c r="E13" t="s">
        <v>13</v>
      </c>
      <c r="F13">
        <v>3000000</v>
      </c>
      <c r="G13" t="s">
        <v>39</v>
      </c>
      <c r="H13">
        <v>40481</v>
      </c>
      <c r="I13" t="s">
        <v>40</v>
      </c>
      <c r="J13">
        <v>0</v>
      </c>
      <c r="K13" t="s">
        <v>40</v>
      </c>
      <c r="L13" t="s">
        <v>16</v>
      </c>
    </row>
    <row r="14" spans="1:12" ht="14.25" x14ac:dyDescent="0.2">
      <c r="A14">
        <v>12</v>
      </c>
      <c r="B14">
        <v>2020</v>
      </c>
      <c r="C14" t="s">
        <v>30</v>
      </c>
      <c r="D14" t="s">
        <v>12</v>
      </c>
      <c r="E14" t="s">
        <v>13</v>
      </c>
      <c r="F14">
        <v>35000</v>
      </c>
      <c r="G14" t="s">
        <v>14</v>
      </c>
      <c r="H14">
        <v>39916</v>
      </c>
      <c r="I14" t="s">
        <v>38</v>
      </c>
      <c r="J14">
        <v>0</v>
      </c>
      <c r="K14" t="s">
        <v>38</v>
      </c>
      <c r="L14" t="s">
        <v>25</v>
      </c>
    </row>
    <row r="15" spans="1:12" ht="14.25" x14ac:dyDescent="0.2">
      <c r="A15">
        <v>13</v>
      </c>
      <c r="B15">
        <v>2020</v>
      </c>
      <c r="C15" t="s">
        <v>11</v>
      </c>
      <c r="D15" t="s">
        <v>12</v>
      </c>
      <c r="E15" t="s">
        <v>41</v>
      </c>
      <c r="F15">
        <v>87000</v>
      </c>
      <c r="G15" t="s">
        <v>19</v>
      </c>
      <c r="H15">
        <v>87000</v>
      </c>
      <c r="I15" t="s">
        <v>29</v>
      </c>
      <c r="J15">
        <v>100</v>
      </c>
      <c r="K15" t="s">
        <v>29</v>
      </c>
      <c r="L15" t="s">
        <v>16</v>
      </c>
    </row>
    <row r="16" spans="1:12" ht="14.25" x14ac:dyDescent="0.2">
      <c r="A16">
        <v>14</v>
      </c>
      <c r="B16">
        <v>2020</v>
      </c>
      <c r="C16" t="s">
        <v>11</v>
      </c>
      <c r="D16" t="s">
        <v>12</v>
      </c>
      <c r="E16" t="s">
        <v>31</v>
      </c>
      <c r="F16">
        <v>85000</v>
      </c>
      <c r="G16" t="s">
        <v>19</v>
      </c>
      <c r="H16">
        <v>85000</v>
      </c>
      <c r="I16" t="s">
        <v>29</v>
      </c>
      <c r="J16">
        <v>100</v>
      </c>
      <c r="K16" t="s">
        <v>29</v>
      </c>
      <c r="L16" t="s">
        <v>16</v>
      </c>
    </row>
    <row r="17" spans="1:12" ht="14.25" x14ac:dyDescent="0.2">
      <c r="A17">
        <v>15</v>
      </c>
      <c r="B17">
        <v>2020</v>
      </c>
      <c r="C17" t="s">
        <v>11</v>
      </c>
      <c r="D17" t="s">
        <v>12</v>
      </c>
      <c r="E17" t="s">
        <v>31</v>
      </c>
      <c r="F17">
        <v>8000</v>
      </c>
      <c r="G17" t="s">
        <v>19</v>
      </c>
      <c r="H17">
        <v>8000</v>
      </c>
      <c r="I17" t="s">
        <v>42</v>
      </c>
      <c r="J17">
        <v>50</v>
      </c>
      <c r="K17" t="s">
        <v>42</v>
      </c>
      <c r="L17" t="s">
        <v>16</v>
      </c>
    </row>
    <row r="18" spans="1:12" ht="14.25" x14ac:dyDescent="0.2">
      <c r="A18">
        <v>16</v>
      </c>
      <c r="B18">
        <v>2020</v>
      </c>
      <c r="C18" t="s">
        <v>30</v>
      </c>
      <c r="D18" t="s">
        <v>12</v>
      </c>
      <c r="E18" t="s">
        <v>43</v>
      </c>
      <c r="F18">
        <v>4450000</v>
      </c>
      <c r="G18" t="s">
        <v>44</v>
      </c>
      <c r="H18">
        <v>41689</v>
      </c>
      <c r="I18" t="s">
        <v>20</v>
      </c>
      <c r="J18">
        <v>100</v>
      </c>
      <c r="K18" t="s">
        <v>20</v>
      </c>
      <c r="L18" t="s">
        <v>21</v>
      </c>
    </row>
    <row r="19" spans="1:12" ht="14.25" x14ac:dyDescent="0.2">
      <c r="A19">
        <v>17</v>
      </c>
      <c r="B19">
        <v>2020</v>
      </c>
      <c r="C19" t="s">
        <v>17</v>
      </c>
      <c r="D19" t="s">
        <v>12</v>
      </c>
      <c r="E19" t="s">
        <v>22</v>
      </c>
      <c r="F19">
        <v>100000</v>
      </c>
      <c r="G19" t="s">
        <v>14</v>
      </c>
      <c r="H19">
        <v>114047</v>
      </c>
      <c r="I19" t="s">
        <v>45</v>
      </c>
      <c r="J19">
        <v>100</v>
      </c>
      <c r="K19" t="s">
        <v>24</v>
      </c>
      <c r="L19" t="s">
        <v>21</v>
      </c>
    </row>
    <row r="20" spans="1:12" ht="14.25" x14ac:dyDescent="0.2">
      <c r="A20">
        <v>18</v>
      </c>
      <c r="B20">
        <v>2020</v>
      </c>
      <c r="C20" t="s">
        <v>30</v>
      </c>
      <c r="D20" t="s">
        <v>12</v>
      </c>
      <c r="E20" t="s">
        <v>46</v>
      </c>
      <c r="F20">
        <v>423000</v>
      </c>
      <c r="G20" t="s">
        <v>39</v>
      </c>
      <c r="H20">
        <v>5707</v>
      </c>
      <c r="I20" t="s">
        <v>40</v>
      </c>
      <c r="J20">
        <v>50</v>
      </c>
      <c r="K20" t="s">
        <v>40</v>
      </c>
      <c r="L20" t="s">
        <v>25</v>
      </c>
    </row>
    <row r="21" spans="1:12" ht="14.25" x14ac:dyDescent="0.2">
      <c r="A21">
        <v>19</v>
      </c>
      <c r="B21">
        <v>2020</v>
      </c>
      <c r="C21" t="s">
        <v>11</v>
      </c>
      <c r="D21" t="s">
        <v>12</v>
      </c>
      <c r="E21" t="s">
        <v>36</v>
      </c>
      <c r="F21">
        <v>56000</v>
      </c>
      <c r="G21" t="s">
        <v>19</v>
      </c>
      <c r="H21">
        <v>56000</v>
      </c>
      <c r="I21" t="s">
        <v>47</v>
      </c>
      <c r="J21">
        <v>100</v>
      </c>
      <c r="K21" t="s">
        <v>29</v>
      </c>
      <c r="L21" t="s">
        <v>25</v>
      </c>
    </row>
    <row r="22" spans="1:12" ht="14.25" x14ac:dyDescent="0.2">
      <c r="A22">
        <v>20</v>
      </c>
      <c r="B22">
        <v>2020</v>
      </c>
      <c r="C22" t="s">
        <v>11</v>
      </c>
      <c r="D22" t="s">
        <v>12</v>
      </c>
      <c r="E22" t="s">
        <v>28</v>
      </c>
      <c r="F22">
        <v>299000</v>
      </c>
      <c r="G22" t="s">
        <v>48</v>
      </c>
      <c r="H22">
        <v>43331</v>
      </c>
      <c r="I22" t="s">
        <v>49</v>
      </c>
      <c r="J22">
        <v>0</v>
      </c>
      <c r="K22" t="s">
        <v>49</v>
      </c>
      <c r="L22" t="s">
        <v>25</v>
      </c>
    </row>
    <row r="23" spans="1:12" ht="14.25" x14ac:dyDescent="0.2">
      <c r="A23">
        <v>21</v>
      </c>
      <c r="B23">
        <v>2020</v>
      </c>
      <c r="C23" t="s">
        <v>11</v>
      </c>
      <c r="D23" t="s">
        <v>12</v>
      </c>
      <c r="E23" t="s">
        <v>26</v>
      </c>
      <c r="F23">
        <v>450000</v>
      </c>
      <c r="G23" t="s">
        <v>39</v>
      </c>
      <c r="H23">
        <v>6072</v>
      </c>
      <c r="I23" t="s">
        <v>40</v>
      </c>
      <c r="J23">
        <v>100</v>
      </c>
      <c r="K23" t="s">
        <v>40</v>
      </c>
      <c r="L23" t="s">
        <v>16</v>
      </c>
    </row>
    <row r="24" spans="1:12" ht="14.25" x14ac:dyDescent="0.2">
      <c r="A24">
        <v>22</v>
      </c>
      <c r="B24">
        <v>2020</v>
      </c>
      <c r="C24" t="s">
        <v>17</v>
      </c>
      <c r="D24" t="s">
        <v>12</v>
      </c>
      <c r="E24" t="s">
        <v>43</v>
      </c>
      <c r="F24">
        <v>42000</v>
      </c>
      <c r="G24" t="s">
        <v>14</v>
      </c>
      <c r="H24">
        <v>47899</v>
      </c>
      <c r="I24" t="s">
        <v>50</v>
      </c>
      <c r="J24">
        <v>50</v>
      </c>
      <c r="K24" t="s">
        <v>50</v>
      </c>
      <c r="L24" t="s">
        <v>16</v>
      </c>
    </row>
    <row r="25" spans="1:12" ht="14.25" x14ac:dyDescent="0.2">
      <c r="A25">
        <v>23</v>
      </c>
      <c r="B25">
        <v>2020</v>
      </c>
      <c r="C25" t="s">
        <v>11</v>
      </c>
      <c r="D25" t="s">
        <v>12</v>
      </c>
      <c r="E25" t="s">
        <v>51</v>
      </c>
      <c r="F25">
        <v>98000</v>
      </c>
      <c r="G25" t="s">
        <v>19</v>
      </c>
      <c r="H25">
        <v>98000</v>
      </c>
      <c r="I25" t="s">
        <v>29</v>
      </c>
      <c r="J25">
        <v>0</v>
      </c>
      <c r="K25" t="s">
        <v>29</v>
      </c>
      <c r="L25" t="s">
        <v>25</v>
      </c>
    </row>
    <row r="26" spans="1:12" ht="14.25" x14ac:dyDescent="0.2">
      <c r="A26">
        <v>24</v>
      </c>
      <c r="B26">
        <v>2020</v>
      </c>
      <c r="C26" t="s">
        <v>11</v>
      </c>
      <c r="D26" t="s">
        <v>12</v>
      </c>
      <c r="E26" t="s">
        <v>32</v>
      </c>
      <c r="F26">
        <v>115000</v>
      </c>
      <c r="G26" t="s">
        <v>19</v>
      </c>
      <c r="H26">
        <v>115000</v>
      </c>
      <c r="I26" t="s">
        <v>52</v>
      </c>
      <c r="J26">
        <v>0</v>
      </c>
      <c r="K26" t="s">
        <v>52</v>
      </c>
      <c r="L26" t="s">
        <v>16</v>
      </c>
    </row>
    <row r="27" spans="1:12" ht="14.25" x14ac:dyDescent="0.2">
      <c r="A27">
        <v>25</v>
      </c>
      <c r="B27">
        <v>2020</v>
      </c>
      <c r="C27" t="s">
        <v>53</v>
      </c>
      <c r="D27" t="s">
        <v>12</v>
      </c>
      <c r="E27" t="s">
        <v>54</v>
      </c>
      <c r="F27">
        <v>325000</v>
      </c>
      <c r="G27" t="s">
        <v>19</v>
      </c>
      <c r="H27">
        <v>325000</v>
      </c>
      <c r="I27" t="s">
        <v>29</v>
      </c>
      <c r="J27">
        <v>100</v>
      </c>
      <c r="K27" t="s">
        <v>29</v>
      </c>
      <c r="L27" t="s">
        <v>16</v>
      </c>
    </row>
    <row r="28" spans="1:12" ht="14.25" x14ac:dyDescent="0.2">
      <c r="A28">
        <v>26</v>
      </c>
      <c r="B28">
        <v>2020</v>
      </c>
      <c r="C28" t="s">
        <v>30</v>
      </c>
      <c r="D28" t="s">
        <v>12</v>
      </c>
      <c r="E28" t="s">
        <v>55</v>
      </c>
      <c r="F28">
        <v>42000</v>
      </c>
      <c r="G28" t="s">
        <v>19</v>
      </c>
      <c r="H28">
        <v>42000</v>
      </c>
      <c r="I28" t="s">
        <v>56</v>
      </c>
      <c r="J28">
        <v>50</v>
      </c>
      <c r="K28" t="s">
        <v>56</v>
      </c>
      <c r="L28" t="s">
        <v>16</v>
      </c>
    </row>
    <row r="29" spans="1:12" ht="14.25" x14ac:dyDescent="0.2">
      <c r="A29">
        <v>27</v>
      </c>
      <c r="B29">
        <v>2020</v>
      </c>
      <c r="C29" t="s">
        <v>17</v>
      </c>
      <c r="D29" t="s">
        <v>12</v>
      </c>
      <c r="E29" t="s">
        <v>43</v>
      </c>
      <c r="F29">
        <v>720000</v>
      </c>
      <c r="G29" t="s">
        <v>57</v>
      </c>
      <c r="H29">
        <v>33511</v>
      </c>
      <c r="I29" t="s">
        <v>58</v>
      </c>
      <c r="J29">
        <v>0</v>
      </c>
      <c r="K29" t="s">
        <v>58</v>
      </c>
      <c r="L29" t="s">
        <v>21</v>
      </c>
    </row>
    <row r="30" spans="1:12" ht="14.25" x14ac:dyDescent="0.2">
      <c r="A30">
        <v>28</v>
      </c>
      <c r="B30">
        <v>2020</v>
      </c>
      <c r="C30" t="s">
        <v>30</v>
      </c>
      <c r="D30" t="s">
        <v>59</v>
      </c>
      <c r="E30" t="s">
        <v>35</v>
      </c>
      <c r="F30">
        <v>100000</v>
      </c>
      <c r="G30" t="s">
        <v>19</v>
      </c>
      <c r="H30">
        <v>100000</v>
      </c>
      <c r="I30" t="s">
        <v>29</v>
      </c>
      <c r="J30">
        <v>100</v>
      </c>
      <c r="K30" t="s">
        <v>29</v>
      </c>
      <c r="L30" t="s">
        <v>16</v>
      </c>
    </row>
    <row r="31" spans="1:12" ht="14.25" x14ac:dyDescent="0.2">
      <c r="A31">
        <v>29</v>
      </c>
      <c r="B31">
        <v>2020</v>
      </c>
      <c r="C31" t="s">
        <v>17</v>
      </c>
      <c r="D31" t="s">
        <v>12</v>
      </c>
      <c r="E31" t="s">
        <v>60</v>
      </c>
      <c r="F31">
        <v>157000</v>
      </c>
      <c r="G31" t="s">
        <v>61</v>
      </c>
      <c r="H31">
        <v>117104</v>
      </c>
      <c r="I31" t="s">
        <v>62</v>
      </c>
      <c r="J31">
        <v>50</v>
      </c>
      <c r="K31" t="s">
        <v>62</v>
      </c>
      <c r="L31" t="s">
        <v>16</v>
      </c>
    </row>
    <row r="32" spans="1:12" ht="14.25" x14ac:dyDescent="0.2">
      <c r="A32">
        <v>30</v>
      </c>
      <c r="B32">
        <v>2020</v>
      </c>
      <c r="C32" t="s">
        <v>11</v>
      </c>
      <c r="D32" t="s">
        <v>12</v>
      </c>
      <c r="E32" t="s">
        <v>63</v>
      </c>
      <c r="F32">
        <v>51999</v>
      </c>
      <c r="G32" t="s">
        <v>14</v>
      </c>
      <c r="H32">
        <v>59303</v>
      </c>
      <c r="I32" t="s">
        <v>15</v>
      </c>
      <c r="J32">
        <v>100</v>
      </c>
      <c r="K32" t="s">
        <v>15</v>
      </c>
      <c r="L32" t="s">
        <v>21</v>
      </c>
    </row>
    <row r="33" spans="1:12" ht="14.25" x14ac:dyDescent="0.2">
      <c r="A33">
        <v>31</v>
      </c>
      <c r="B33">
        <v>2020</v>
      </c>
      <c r="C33" t="s">
        <v>30</v>
      </c>
      <c r="D33" t="s">
        <v>12</v>
      </c>
      <c r="E33" t="s">
        <v>22</v>
      </c>
      <c r="F33">
        <v>70000</v>
      </c>
      <c r="G33" t="s">
        <v>19</v>
      </c>
      <c r="H33">
        <v>70000</v>
      </c>
      <c r="I33" t="s">
        <v>29</v>
      </c>
      <c r="J33">
        <v>100</v>
      </c>
      <c r="K33" t="s">
        <v>29</v>
      </c>
      <c r="L33" t="s">
        <v>16</v>
      </c>
    </row>
    <row r="34" spans="1:12" ht="14.25" x14ac:dyDescent="0.2">
      <c r="A34">
        <v>32</v>
      </c>
      <c r="B34">
        <v>2020</v>
      </c>
      <c r="C34" t="s">
        <v>17</v>
      </c>
      <c r="D34" t="s">
        <v>12</v>
      </c>
      <c r="E34" t="s">
        <v>13</v>
      </c>
      <c r="F34">
        <v>60000</v>
      </c>
      <c r="G34" t="s">
        <v>14</v>
      </c>
      <c r="H34">
        <v>68428</v>
      </c>
      <c r="I34" t="s">
        <v>50</v>
      </c>
      <c r="J34">
        <v>100</v>
      </c>
      <c r="K34" t="s">
        <v>29</v>
      </c>
      <c r="L34" t="s">
        <v>16</v>
      </c>
    </row>
    <row r="35" spans="1:12" ht="14.25" x14ac:dyDescent="0.2">
      <c r="A35">
        <v>33</v>
      </c>
      <c r="B35">
        <v>2020</v>
      </c>
      <c r="C35" t="s">
        <v>11</v>
      </c>
      <c r="D35" t="s">
        <v>12</v>
      </c>
      <c r="E35" t="s">
        <v>55</v>
      </c>
      <c r="F35">
        <v>450000</v>
      </c>
      <c r="G35" t="s">
        <v>19</v>
      </c>
      <c r="H35">
        <v>450000</v>
      </c>
      <c r="I35" t="s">
        <v>29</v>
      </c>
      <c r="J35">
        <v>0</v>
      </c>
      <c r="K35" t="s">
        <v>29</v>
      </c>
      <c r="L35" t="s">
        <v>25</v>
      </c>
    </row>
    <row r="36" spans="1:12" ht="14.25" x14ac:dyDescent="0.2">
      <c r="A36">
        <v>34</v>
      </c>
      <c r="B36">
        <v>2020</v>
      </c>
      <c r="C36" t="s">
        <v>11</v>
      </c>
      <c r="D36" t="s">
        <v>12</v>
      </c>
      <c r="E36" t="s">
        <v>31</v>
      </c>
      <c r="F36">
        <v>41000</v>
      </c>
      <c r="G36" t="s">
        <v>14</v>
      </c>
      <c r="H36">
        <v>46759</v>
      </c>
      <c r="I36" t="s">
        <v>38</v>
      </c>
      <c r="J36">
        <v>50</v>
      </c>
      <c r="K36" t="s">
        <v>38</v>
      </c>
      <c r="L36" t="s">
        <v>16</v>
      </c>
    </row>
    <row r="37" spans="1:12" ht="14.25" x14ac:dyDescent="0.2">
      <c r="A37">
        <v>35</v>
      </c>
      <c r="B37">
        <v>2020</v>
      </c>
      <c r="C37" t="s">
        <v>11</v>
      </c>
      <c r="D37" t="s">
        <v>12</v>
      </c>
      <c r="E37" t="s">
        <v>43</v>
      </c>
      <c r="F37">
        <v>65000</v>
      </c>
      <c r="G37" t="s">
        <v>14</v>
      </c>
      <c r="H37">
        <v>74130</v>
      </c>
      <c r="I37" t="s">
        <v>64</v>
      </c>
      <c r="J37">
        <v>50</v>
      </c>
      <c r="K37" t="s">
        <v>64</v>
      </c>
      <c r="L37" t="s">
        <v>16</v>
      </c>
    </row>
    <row r="38" spans="1:12" ht="14.25" x14ac:dyDescent="0.2">
      <c r="A38">
        <v>36</v>
      </c>
      <c r="B38">
        <v>2020</v>
      </c>
      <c r="C38" t="s">
        <v>11</v>
      </c>
      <c r="D38" t="s">
        <v>12</v>
      </c>
      <c r="E38" t="s">
        <v>46</v>
      </c>
      <c r="F38">
        <v>103000</v>
      </c>
      <c r="G38" t="s">
        <v>19</v>
      </c>
      <c r="H38">
        <v>103000</v>
      </c>
      <c r="I38" t="s">
        <v>29</v>
      </c>
      <c r="J38">
        <v>100</v>
      </c>
      <c r="K38" t="s">
        <v>29</v>
      </c>
      <c r="L38" t="s">
        <v>16</v>
      </c>
    </row>
    <row r="39" spans="1:12" ht="14.25" x14ac:dyDescent="0.2">
      <c r="A39">
        <v>37</v>
      </c>
      <c r="B39">
        <v>2020</v>
      </c>
      <c r="C39" t="s">
        <v>30</v>
      </c>
      <c r="D39" t="s">
        <v>12</v>
      </c>
      <c r="E39" t="s">
        <v>28</v>
      </c>
      <c r="F39">
        <v>250000</v>
      </c>
      <c r="G39" t="s">
        <v>19</v>
      </c>
      <c r="H39">
        <v>250000</v>
      </c>
      <c r="I39" t="s">
        <v>29</v>
      </c>
      <c r="J39">
        <v>50</v>
      </c>
      <c r="K39" t="s">
        <v>29</v>
      </c>
      <c r="L39" t="s">
        <v>16</v>
      </c>
    </row>
    <row r="40" spans="1:12" ht="14.25" x14ac:dyDescent="0.2">
      <c r="A40">
        <v>38</v>
      </c>
      <c r="B40">
        <v>2020</v>
      </c>
      <c r="C40" t="s">
        <v>30</v>
      </c>
      <c r="D40" t="s">
        <v>12</v>
      </c>
      <c r="E40" t="s">
        <v>31</v>
      </c>
      <c r="F40">
        <v>10000</v>
      </c>
      <c r="G40" t="s">
        <v>19</v>
      </c>
      <c r="H40">
        <v>10000</v>
      </c>
      <c r="I40" t="s">
        <v>65</v>
      </c>
      <c r="J40">
        <v>100</v>
      </c>
      <c r="K40" t="s">
        <v>65</v>
      </c>
      <c r="L40" t="s">
        <v>21</v>
      </c>
    </row>
    <row r="41" spans="1:12" ht="14.25" x14ac:dyDescent="0.2">
      <c r="A41">
        <v>39</v>
      </c>
      <c r="B41">
        <v>2020</v>
      </c>
      <c r="C41" t="s">
        <v>30</v>
      </c>
      <c r="D41" t="s">
        <v>12</v>
      </c>
      <c r="E41" t="s">
        <v>28</v>
      </c>
      <c r="F41">
        <v>138000</v>
      </c>
      <c r="G41" t="s">
        <v>19</v>
      </c>
      <c r="H41">
        <v>138000</v>
      </c>
      <c r="I41" t="s">
        <v>29</v>
      </c>
      <c r="J41">
        <v>100</v>
      </c>
      <c r="K41" t="s">
        <v>29</v>
      </c>
      <c r="L41" t="s">
        <v>21</v>
      </c>
    </row>
    <row r="42" spans="1:12" ht="14.25" x14ac:dyDescent="0.2">
      <c r="A42">
        <v>40</v>
      </c>
      <c r="B42">
        <v>2020</v>
      </c>
      <c r="C42" t="s">
        <v>11</v>
      </c>
      <c r="D42" t="s">
        <v>12</v>
      </c>
      <c r="E42" t="s">
        <v>13</v>
      </c>
      <c r="F42">
        <v>45760</v>
      </c>
      <c r="G42" t="s">
        <v>19</v>
      </c>
      <c r="H42">
        <v>45760</v>
      </c>
      <c r="I42" t="s">
        <v>66</v>
      </c>
      <c r="J42">
        <v>100</v>
      </c>
      <c r="K42" t="s">
        <v>29</v>
      </c>
      <c r="L42" t="s">
        <v>21</v>
      </c>
    </row>
    <row r="43" spans="1:12" ht="14.25" x14ac:dyDescent="0.2">
      <c r="A43">
        <v>41</v>
      </c>
      <c r="B43">
        <v>2020</v>
      </c>
      <c r="C43" t="s">
        <v>53</v>
      </c>
      <c r="D43" t="s">
        <v>12</v>
      </c>
      <c r="E43" t="s">
        <v>63</v>
      </c>
      <c r="F43">
        <v>70000</v>
      </c>
      <c r="G43" t="s">
        <v>14</v>
      </c>
      <c r="H43">
        <v>79833</v>
      </c>
      <c r="I43" t="s">
        <v>67</v>
      </c>
      <c r="J43">
        <v>50</v>
      </c>
      <c r="K43" t="s">
        <v>67</v>
      </c>
      <c r="L43" t="s">
        <v>16</v>
      </c>
    </row>
    <row r="44" spans="1:12" ht="14.25" x14ac:dyDescent="0.2">
      <c r="A44">
        <v>42</v>
      </c>
      <c r="B44">
        <v>2020</v>
      </c>
      <c r="C44" t="s">
        <v>11</v>
      </c>
      <c r="D44" t="s">
        <v>12</v>
      </c>
      <c r="E44" t="s">
        <v>68</v>
      </c>
      <c r="F44">
        <v>44000</v>
      </c>
      <c r="G44" t="s">
        <v>14</v>
      </c>
      <c r="H44">
        <v>50180</v>
      </c>
      <c r="I44" t="s">
        <v>47</v>
      </c>
      <c r="J44">
        <v>0</v>
      </c>
      <c r="K44" t="s">
        <v>47</v>
      </c>
      <c r="L44" t="s">
        <v>25</v>
      </c>
    </row>
    <row r="45" spans="1:12" ht="14.25" x14ac:dyDescent="0.2">
      <c r="A45">
        <v>43</v>
      </c>
      <c r="B45">
        <v>2020</v>
      </c>
      <c r="C45" t="s">
        <v>11</v>
      </c>
      <c r="D45" t="s">
        <v>12</v>
      </c>
      <c r="E45" t="s">
        <v>43</v>
      </c>
      <c r="F45">
        <v>106000</v>
      </c>
      <c r="G45" t="s">
        <v>19</v>
      </c>
      <c r="H45">
        <v>106000</v>
      </c>
      <c r="I45" t="s">
        <v>29</v>
      </c>
      <c r="J45">
        <v>100</v>
      </c>
      <c r="K45" t="s">
        <v>29</v>
      </c>
      <c r="L45" t="s">
        <v>16</v>
      </c>
    </row>
    <row r="46" spans="1:12" ht="14.25" x14ac:dyDescent="0.2">
      <c r="A46">
        <v>44</v>
      </c>
      <c r="B46">
        <v>2020</v>
      </c>
      <c r="C46" t="s">
        <v>11</v>
      </c>
      <c r="D46" t="s">
        <v>12</v>
      </c>
      <c r="E46" t="s">
        <v>43</v>
      </c>
      <c r="F46">
        <v>88000</v>
      </c>
      <c r="G46" t="s">
        <v>23</v>
      </c>
      <c r="H46">
        <v>112872</v>
      </c>
      <c r="I46" t="s">
        <v>24</v>
      </c>
      <c r="J46">
        <v>50</v>
      </c>
      <c r="K46" t="s">
        <v>24</v>
      </c>
      <c r="L46" t="s">
        <v>16</v>
      </c>
    </row>
    <row r="47" spans="1:12" ht="14.25" x14ac:dyDescent="0.2">
      <c r="A47">
        <v>45</v>
      </c>
      <c r="B47">
        <v>2020</v>
      </c>
      <c r="C47" t="s">
        <v>30</v>
      </c>
      <c r="D47" t="s">
        <v>47</v>
      </c>
      <c r="E47" t="s">
        <v>69</v>
      </c>
      <c r="F47">
        <v>14000</v>
      </c>
      <c r="G47" t="s">
        <v>14</v>
      </c>
      <c r="H47">
        <v>15966</v>
      </c>
      <c r="I47" t="s">
        <v>15</v>
      </c>
      <c r="J47">
        <v>100</v>
      </c>
      <c r="K47" t="s">
        <v>15</v>
      </c>
      <c r="L47" t="s">
        <v>21</v>
      </c>
    </row>
    <row r="48" spans="1:12" ht="14.25" x14ac:dyDescent="0.2">
      <c r="A48">
        <v>46</v>
      </c>
      <c r="B48">
        <v>2020</v>
      </c>
      <c r="C48" t="s">
        <v>11</v>
      </c>
      <c r="D48" t="s">
        <v>12</v>
      </c>
      <c r="E48" t="s">
        <v>13</v>
      </c>
      <c r="F48">
        <v>60000</v>
      </c>
      <c r="G48" t="s">
        <v>23</v>
      </c>
      <c r="H48">
        <v>76958</v>
      </c>
      <c r="I48" t="s">
        <v>24</v>
      </c>
      <c r="J48">
        <v>100</v>
      </c>
      <c r="K48" t="s">
        <v>24</v>
      </c>
      <c r="L48" t="s">
        <v>21</v>
      </c>
    </row>
    <row r="49" spans="1:12" ht="14.25" x14ac:dyDescent="0.2">
      <c r="A49">
        <v>47</v>
      </c>
      <c r="B49">
        <v>2020</v>
      </c>
      <c r="C49" t="s">
        <v>17</v>
      </c>
      <c r="D49" t="s">
        <v>12</v>
      </c>
      <c r="E49" t="s">
        <v>43</v>
      </c>
      <c r="F49">
        <v>188000</v>
      </c>
      <c r="G49" t="s">
        <v>19</v>
      </c>
      <c r="H49">
        <v>188000</v>
      </c>
      <c r="I49" t="s">
        <v>29</v>
      </c>
      <c r="J49">
        <v>100</v>
      </c>
      <c r="K49" t="s">
        <v>29</v>
      </c>
      <c r="L49" t="s">
        <v>16</v>
      </c>
    </row>
    <row r="50" spans="1:12" ht="14.25" x14ac:dyDescent="0.2">
      <c r="A50">
        <v>48</v>
      </c>
      <c r="B50">
        <v>2020</v>
      </c>
      <c r="C50" t="s">
        <v>11</v>
      </c>
      <c r="D50" t="s">
        <v>12</v>
      </c>
      <c r="E50" t="s">
        <v>13</v>
      </c>
      <c r="F50">
        <v>105000</v>
      </c>
      <c r="G50" t="s">
        <v>19</v>
      </c>
      <c r="H50">
        <v>105000</v>
      </c>
      <c r="I50" t="s">
        <v>29</v>
      </c>
      <c r="J50">
        <v>100</v>
      </c>
      <c r="K50" t="s">
        <v>29</v>
      </c>
      <c r="L50" t="s">
        <v>16</v>
      </c>
    </row>
    <row r="51" spans="1:12" ht="14.25" x14ac:dyDescent="0.2">
      <c r="A51">
        <v>49</v>
      </c>
      <c r="B51">
        <v>2020</v>
      </c>
      <c r="C51" t="s">
        <v>11</v>
      </c>
      <c r="D51" t="s">
        <v>12</v>
      </c>
      <c r="E51" t="s">
        <v>43</v>
      </c>
      <c r="F51">
        <v>61500</v>
      </c>
      <c r="G51" t="s">
        <v>14</v>
      </c>
      <c r="H51">
        <v>70139</v>
      </c>
      <c r="I51" t="s">
        <v>38</v>
      </c>
      <c r="J51">
        <v>50</v>
      </c>
      <c r="K51" t="s">
        <v>38</v>
      </c>
      <c r="L51" t="s">
        <v>16</v>
      </c>
    </row>
    <row r="52" spans="1:12" ht="14.25" x14ac:dyDescent="0.2">
      <c r="A52">
        <v>50</v>
      </c>
      <c r="B52">
        <v>2020</v>
      </c>
      <c r="C52" t="s">
        <v>30</v>
      </c>
      <c r="D52" t="s">
        <v>12</v>
      </c>
      <c r="E52" t="s">
        <v>31</v>
      </c>
      <c r="F52">
        <v>450000</v>
      </c>
      <c r="G52" t="s">
        <v>39</v>
      </c>
      <c r="H52">
        <v>6072</v>
      </c>
      <c r="I52" t="s">
        <v>40</v>
      </c>
      <c r="J52">
        <v>0</v>
      </c>
      <c r="K52" t="s">
        <v>40</v>
      </c>
      <c r="L52" t="s">
        <v>21</v>
      </c>
    </row>
    <row r="53" spans="1:12" ht="14.25" x14ac:dyDescent="0.2">
      <c r="A53">
        <v>51</v>
      </c>
      <c r="B53">
        <v>2020</v>
      </c>
      <c r="C53" t="s">
        <v>30</v>
      </c>
      <c r="D53" t="s">
        <v>12</v>
      </c>
      <c r="E53" t="s">
        <v>31</v>
      </c>
      <c r="F53">
        <v>91000</v>
      </c>
      <c r="G53" t="s">
        <v>19</v>
      </c>
      <c r="H53">
        <v>91000</v>
      </c>
      <c r="I53" t="s">
        <v>29</v>
      </c>
      <c r="J53">
        <v>100</v>
      </c>
      <c r="K53" t="s">
        <v>29</v>
      </c>
      <c r="L53" t="s">
        <v>16</v>
      </c>
    </row>
    <row r="54" spans="1:12" ht="14.25" x14ac:dyDescent="0.2">
      <c r="A54">
        <v>52</v>
      </c>
      <c r="B54">
        <v>2020</v>
      </c>
      <c r="C54" t="s">
        <v>30</v>
      </c>
      <c r="D54" t="s">
        <v>12</v>
      </c>
      <c r="E54" t="s">
        <v>70</v>
      </c>
      <c r="F54">
        <v>300000</v>
      </c>
      <c r="G54" t="s">
        <v>71</v>
      </c>
      <c r="H54">
        <v>45896</v>
      </c>
      <c r="I54" t="s">
        <v>72</v>
      </c>
      <c r="J54">
        <v>50</v>
      </c>
      <c r="K54" t="s">
        <v>72</v>
      </c>
      <c r="L54" t="s">
        <v>21</v>
      </c>
    </row>
    <row r="55" spans="1:12" ht="14.25" x14ac:dyDescent="0.2">
      <c r="A55">
        <v>53</v>
      </c>
      <c r="B55">
        <v>2020</v>
      </c>
      <c r="C55" t="s">
        <v>30</v>
      </c>
      <c r="D55" t="s">
        <v>12</v>
      </c>
      <c r="E55" t="s">
        <v>43</v>
      </c>
      <c r="F55">
        <v>48000</v>
      </c>
      <c r="G55" t="s">
        <v>14</v>
      </c>
      <c r="H55">
        <v>54742</v>
      </c>
      <c r="I55" t="s">
        <v>42</v>
      </c>
      <c r="J55">
        <v>100</v>
      </c>
      <c r="K55" t="s">
        <v>15</v>
      </c>
      <c r="L55" t="s">
        <v>16</v>
      </c>
    </row>
    <row r="56" spans="1:12" ht="14.25" x14ac:dyDescent="0.2">
      <c r="A56">
        <v>54</v>
      </c>
      <c r="B56">
        <v>2020</v>
      </c>
      <c r="C56" t="s">
        <v>17</v>
      </c>
      <c r="D56" t="s">
        <v>73</v>
      </c>
      <c r="E56" t="s">
        <v>74</v>
      </c>
      <c r="F56">
        <v>60000</v>
      </c>
      <c r="G56" t="s">
        <v>19</v>
      </c>
      <c r="H56">
        <v>60000</v>
      </c>
      <c r="I56" t="s">
        <v>75</v>
      </c>
      <c r="J56">
        <v>100</v>
      </c>
      <c r="K56" t="s">
        <v>29</v>
      </c>
      <c r="L56" t="s">
        <v>21</v>
      </c>
    </row>
    <row r="57" spans="1:12" ht="14.25" x14ac:dyDescent="0.2">
      <c r="A57">
        <v>55</v>
      </c>
      <c r="B57">
        <v>2020</v>
      </c>
      <c r="C57" t="s">
        <v>17</v>
      </c>
      <c r="D57" t="s">
        <v>12</v>
      </c>
      <c r="E57" t="s">
        <v>76</v>
      </c>
      <c r="F57">
        <v>130000</v>
      </c>
      <c r="G57" t="s">
        <v>14</v>
      </c>
      <c r="H57">
        <v>148261</v>
      </c>
      <c r="I57" t="s">
        <v>15</v>
      </c>
      <c r="J57">
        <v>100</v>
      </c>
      <c r="K57" t="s">
        <v>15</v>
      </c>
      <c r="L57" t="s">
        <v>25</v>
      </c>
    </row>
    <row r="58" spans="1:12" ht="14.25" x14ac:dyDescent="0.2">
      <c r="A58">
        <v>56</v>
      </c>
      <c r="B58">
        <v>2020</v>
      </c>
      <c r="C58" t="s">
        <v>11</v>
      </c>
      <c r="D58" t="s">
        <v>12</v>
      </c>
      <c r="E58" t="s">
        <v>13</v>
      </c>
      <c r="F58">
        <v>34000</v>
      </c>
      <c r="G58" t="s">
        <v>14</v>
      </c>
      <c r="H58">
        <v>38776</v>
      </c>
      <c r="I58" t="s">
        <v>67</v>
      </c>
      <c r="J58">
        <v>100</v>
      </c>
      <c r="K58" t="s">
        <v>67</v>
      </c>
      <c r="L58" t="s">
        <v>25</v>
      </c>
    </row>
    <row r="59" spans="1:12" ht="14.25" x14ac:dyDescent="0.2">
      <c r="A59">
        <v>57</v>
      </c>
      <c r="B59">
        <v>2020</v>
      </c>
      <c r="C59" t="s">
        <v>11</v>
      </c>
      <c r="D59" t="s">
        <v>12</v>
      </c>
      <c r="E59" t="s">
        <v>13</v>
      </c>
      <c r="F59">
        <v>118000</v>
      </c>
      <c r="G59" t="s">
        <v>19</v>
      </c>
      <c r="H59">
        <v>118000</v>
      </c>
      <c r="I59" t="s">
        <v>29</v>
      </c>
      <c r="J59">
        <v>100</v>
      </c>
      <c r="K59" t="s">
        <v>29</v>
      </c>
      <c r="L59" t="s">
        <v>25</v>
      </c>
    </row>
    <row r="60" spans="1:12" ht="14.25" x14ac:dyDescent="0.2">
      <c r="A60">
        <v>58</v>
      </c>
      <c r="B60">
        <v>2020</v>
      </c>
      <c r="C60" t="s">
        <v>17</v>
      </c>
      <c r="D60" t="s">
        <v>12</v>
      </c>
      <c r="E60" t="s">
        <v>13</v>
      </c>
      <c r="F60">
        <v>120000</v>
      </c>
      <c r="G60" t="s">
        <v>19</v>
      </c>
      <c r="H60">
        <v>120000</v>
      </c>
      <c r="I60" t="s">
        <v>29</v>
      </c>
      <c r="J60">
        <v>50</v>
      </c>
      <c r="K60" t="s">
        <v>29</v>
      </c>
      <c r="L60" t="s">
        <v>16</v>
      </c>
    </row>
    <row r="61" spans="1:12" ht="14.25" x14ac:dyDescent="0.2">
      <c r="A61">
        <v>59</v>
      </c>
      <c r="B61">
        <v>2020</v>
      </c>
      <c r="C61" t="s">
        <v>11</v>
      </c>
      <c r="D61" t="s">
        <v>12</v>
      </c>
      <c r="E61" t="s">
        <v>13</v>
      </c>
      <c r="F61">
        <v>138350</v>
      </c>
      <c r="G61" t="s">
        <v>19</v>
      </c>
      <c r="H61">
        <v>138350</v>
      </c>
      <c r="I61" t="s">
        <v>29</v>
      </c>
      <c r="J61">
        <v>100</v>
      </c>
      <c r="K61" t="s">
        <v>29</v>
      </c>
      <c r="L61" t="s">
        <v>25</v>
      </c>
    </row>
    <row r="62" spans="1:12" ht="14.25" x14ac:dyDescent="0.2">
      <c r="A62">
        <v>60</v>
      </c>
      <c r="B62">
        <v>2020</v>
      </c>
      <c r="C62" t="s">
        <v>11</v>
      </c>
      <c r="D62" t="s">
        <v>12</v>
      </c>
      <c r="E62" t="s">
        <v>43</v>
      </c>
      <c r="F62">
        <v>110000</v>
      </c>
      <c r="G62" t="s">
        <v>19</v>
      </c>
      <c r="H62">
        <v>110000</v>
      </c>
      <c r="I62" t="s">
        <v>29</v>
      </c>
      <c r="J62">
        <v>100</v>
      </c>
      <c r="K62" t="s">
        <v>29</v>
      </c>
      <c r="L62" t="s">
        <v>16</v>
      </c>
    </row>
    <row r="63" spans="1:12" ht="14.25" x14ac:dyDescent="0.2">
      <c r="A63">
        <v>61</v>
      </c>
      <c r="B63">
        <v>2020</v>
      </c>
      <c r="C63" t="s">
        <v>11</v>
      </c>
      <c r="D63" t="s">
        <v>12</v>
      </c>
      <c r="E63" t="s">
        <v>43</v>
      </c>
      <c r="F63">
        <v>130800</v>
      </c>
      <c r="G63" t="s">
        <v>19</v>
      </c>
      <c r="H63">
        <v>130800</v>
      </c>
      <c r="I63" t="s">
        <v>67</v>
      </c>
      <c r="J63">
        <v>100</v>
      </c>
      <c r="K63" t="s">
        <v>29</v>
      </c>
      <c r="L63" t="s">
        <v>25</v>
      </c>
    </row>
    <row r="64" spans="1:12" ht="14.25" x14ac:dyDescent="0.2">
      <c r="A64">
        <v>62</v>
      </c>
      <c r="B64">
        <v>2020</v>
      </c>
      <c r="C64" t="s">
        <v>30</v>
      </c>
      <c r="D64" t="s">
        <v>47</v>
      </c>
      <c r="E64" t="s">
        <v>13</v>
      </c>
      <c r="F64">
        <v>19000</v>
      </c>
      <c r="G64" t="s">
        <v>14</v>
      </c>
      <c r="H64">
        <v>21669</v>
      </c>
      <c r="I64" t="s">
        <v>77</v>
      </c>
      <c r="J64">
        <v>50</v>
      </c>
      <c r="K64" t="s">
        <v>77</v>
      </c>
      <c r="L64" t="s">
        <v>21</v>
      </c>
    </row>
    <row r="65" spans="1:12" ht="14.25" x14ac:dyDescent="0.2">
      <c r="A65">
        <v>63</v>
      </c>
      <c r="B65">
        <v>2020</v>
      </c>
      <c r="C65" t="s">
        <v>17</v>
      </c>
      <c r="D65" t="s">
        <v>12</v>
      </c>
      <c r="E65" t="s">
        <v>13</v>
      </c>
      <c r="F65">
        <v>412000</v>
      </c>
      <c r="G65" t="s">
        <v>19</v>
      </c>
      <c r="H65">
        <v>412000</v>
      </c>
      <c r="I65" t="s">
        <v>29</v>
      </c>
      <c r="J65">
        <v>100</v>
      </c>
      <c r="K65" t="s">
        <v>29</v>
      </c>
      <c r="L65" t="s">
        <v>16</v>
      </c>
    </row>
    <row r="66" spans="1:12" ht="14.25" x14ac:dyDescent="0.2">
      <c r="A66">
        <v>64</v>
      </c>
      <c r="B66">
        <v>2020</v>
      </c>
      <c r="C66" t="s">
        <v>17</v>
      </c>
      <c r="D66" t="s">
        <v>12</v>
      </c>
      <c r="E66" t="s">
        <v>28</v>
      </c>
      <c r="F66">
        <v>40000</v>
      </c>
      <c r="G66" t="s">
        <v>14</v>
      </c>
      <c r="H66">
        <v>45618</v>
      </c>
      <c r="I66" t="s">
        <v>78</v>
      </c>
      <c r="J66">
        <v>100</v>
      </c>
      <c r="K66" t="s">
        <v>78</v>
      </c>
      <c r="L66" t="s">
        <v>21</v>
      </c>
    </row>
    <row r="67" spans="1:12" ht="14.25" x14ac:dyDescent="0.2">
      <c r="A67">
        <v>65</v>
      </c>
      <c r="B67">
        <v>2020</v>
      </c>
      <c r="C67" t="s">
        <v>30</v>
      </c>
      <c r="D67" t="s">
        <v>12</v>
      </c>
      <c r="E67" t="s">
        <v>13</v>
      </c>
      <c r="F67">
        <v>55000</v>
      </c>
      <c r="G67" t="s">
        <v>14</v>
      </c>
      <c r="H67">
        <v>62726</v>
      </c>
      <c r="I67" t="s">
        <v>15</v>
      </c>
      <c r="J67">
        <v>50</v>
      </c>
      <c r="K67" t="s">
        <v>15</v>
      </c>
      <c r="L67" t="s">
        <v>21</v>
      </c>
    </row>
    <row r="68" spans="1:12" ht="14.25" x14ac:dyDescent="0.2">
      <c r="A68">
        <v>66</v>
      </c>
      <c r="B68">
        <v>2020</v>
      </c>
      <c r="C68" t="s">
        <v>30</v>
      </c>
      <c r="D68" t="s">
        <v>12</v>
      </c>
      <c r="E68" t="s">
        <v>13</v>
      </c>
      <c r="F68">
        <v>43200</v>
      </c>
      <c r="G68" t="s">
        <v>14</v>
      </c>
      <c r="H68">
        <v>49268</v>
      </c>
      <c r="I68" t="s">
        <v>15</v>
      </c>
      <c r="J68">
        <v>0</v>
      </c>
      <c r="K68" t="s">
        <v>15</v>
      </c>
      <c r="L68" t="s">
        <v>21</v>
      </c>
    </row>
    <row r="69" spans="1:12" ht="14.25" x14ac:dyDescent="0.2">
      <c r="A69">
        <v>67</v>
      </c>
      <c r="B69">
        <v>2020</v>
      </c>
      <c r="C69" t="s">
        <v>17</v>
      </c>
      <c r="D69" t="s">
        <v>12</v>
      </c>
      <c r="E69" t="s">
        <v>79</v>
      </c>
      <c r="F69">
        <v>190200</v>
      </c>
      <c r="G69" t="s">
        <v>19</v>
      </c>
      <c r="H69">
        <v>190200</v>
      </c>
      <c r="I69" t="s">
        <v>29</v>
      </c>
      <c r="J69">
        <v>100</v>
      </c>
      <c r="K69" t="s">
        <v>29</v>
      </c>
      <c r="L69" t="s">
        <v>25</v>
      </c>
    </row>
    <row r="70" spans="1:12" ht="14.25" x14ac:dyDescent="0.2">
      <c r="A70">
        <v>68</v>
      </c>
      <c r="B70">
        <v>2020</v>
      </c>
      <c r="C70" t="s">
        <v>30</v>
      </c>
      <c r="D70" t="s">
        <v>12</v>
      </c>
      <c r="E70" t="s">
        <v>13</v>
      </c>
      <c r="F70">
        <v>105000</v>
      </c>
      <c r="G70" t="s">
        <v>19</v>
      </c>
      <c r="H70">
        <v>105000</v>
      </c>
      <c r="I70" t="s">
        <v>29</v>
      </c>
      <c r="J70">
        <v>100</v>
      </c>
      <c r="K70" t="s">
        <v>29</v>
      </c>
      <c r="L70" t="s">
        <v>21</v>
      </c>
    </row>
    <row r="71" spans="1:12" ht="14.25" x14ac:dyDescent="0.2">
      <c r="A71">
        <v>69</v>
      </c>
      <c r="B71">
        <v>2020</v>
      </c>
      <c r="C71" t="s">
        <v>17</v>
      </c>
      <c r="D71" t="s">
        <v>12</v>
      </c>
      <c r="E71" t="s">
        <v>13</v>
      </c>
      <c r="F71">
        <v>80000</v>
      </c>
      <c r="G71" t="s">
        <v>14</v>
      </c>
      <c r="H71">
        <v>91237</v>
      </c>
      <c r="I71" t="s">
        <v>64</v>
      </c>
      <c r="J71">
        <v>0</v>
      </c>
      <c r="K71" t="s">
        <v>64</v>
      </c>
      <c r="L71" t="s">
        <v>21</v>
      </c>
    </row>
    <row r="72" spans="1:12" ht="14.25" x14ac:dyDescent="0.2">
      <c r="A72">
        <v>70</v>
      </c>
      <c r="B72">
        <v>2020</v>
      </c>
      <c r="C72" t="s">
        <v>11</v>
      </c>
      <c r="D72" t="s">
        <v>12</v>
      </c>
      <c r="E72" t="s">
        <v>13</v>
      </c>
      <c r="F72">
        <v>55000</v>
      </c>
      <c r="G72" t="s">
        <v>14</v>
      </c>
      <c r="H72">
        <v>62726</v>
      </c>
      <c r="I72" t="s">
        <v>38</v>
      </c>
      <c r="J72">
        <v>50</v>
      </c>
      <c r="K72" t="s">
        <v>80</v>
      </c>
      <c r="L72" t="s">
        <v>21</v>
      </c>
    </row>
    <row r="73" spans="1:12" ht="14.25" x14ac:dyDescent="0.2">
      <c r="A73">
        <v>71</v>
      </c>
      <c r="B73">
        <v>2020</v>
      </c>
      <c r="C73" t="s">
        <v>11</v>
      </c>
      <c r="D73" t="s">
        <v>12</v>
      </c>
      <c r="E73" t="s">
        <v>13</v>
      </c>
      <c r="F73">
        <v>37000</v>
      </c>
      <c r="G73" t="s">
        <v>14</v>
      </c>
      <c r="H73">
        <v>42197</v>
      </c>
      <c r="I73" t="s">
        <v>38</v>
      </c>
      <c r="J73">
        <v>50</v>
      </c>
      <c r="K73" t="s">
        <v>38</v>
      </c>
      <c r="L73" t="s">
        <v>21</v>
      </c>
    </row>
    <row r="74" spans="1:12" ht="14.25" x14ac:dyDescent="0.2">
      <c r="A74">
        <v>72</v>
      </c>
      <c r="B74">
        <v>2021</v>
      </c>
      <c r="C74" t="s">
        <v>30</v>
      </c>
      <c r="D74" t="s">
        <v>12</v>
      </c>
      <c r="E74" t="s">
        <v>55</v>
      </c>
      <c r="F74">
        <v>60000</v>
      </c>
      <c r="G74" t="s">
        <v>23</v>
      </c>
      <c r="H74">
        <v>82528</v>
      </c>
      <c r="I74" t="s">
        <v>24</v>
      </c>
      <c r="J74">
        <v>50</v>
      </c>
      <c r="K74" t="s">
        <v>24</v>
      </c>
      <c r="L74" t="s">
        <v>16</v>
      </c>
    </row>
    <row r="75" spans="1:12" ht="14.25" x14ac:dyDescent="0.2">
      <c r="A75">
        <v>73</v>
      </c>
      <c r="B75">
        <v>2021</v>
      </c>
      <c r="C75" t="s">
        <v>53</v>
      </c>
      <c r="D75" t="s">
        <v>12</v>
      </c>
      <c r="E75" t="s">
        <v>51</v>
      </c>
      <c r="F75">
        <v>150000</v>
      </c>
      <c r="G75" t="s">
        <v>19</v>
      </c>
      <c r="H75">
        <v>150000</v>
      </c>
      <c r="I75" t="s">
        <v>40</v>
      </c>
      <c r="J75">
        <v>100</v>
      </c>
      <c r="K75" t="s">
        <v>29</v>
      </c>
      <c r="L75" t="s">
        <v>16</v>
      </c>
    </row>
    <row r="76" spans="1:12" ht="14.25" x14ac:dyDescent="0.2">
      <c r="A76">
        <v>74</v>
      </c>
      <c r="B76">
        <v>2021</v>
      </c>
      <c r="C76" t="s">
        <v>53</v>
      </c>
      <c r="D76" t="s">
        <v>12</v>
      </c>
      <c r="E76" t="s">
        <v>81</v>
      </c>
      <c r="F76">
        <v>235000</v>
      </c>
      <c r="G76" t="s">
        <v>19</v>
      </c>
      <c r="H76">
        <v>235000</v>
      </c>
      <c r="I76" t="s">
        <v>29</v>
      </c>
      <c r="J76">
        <v>100</v>
      </c>
      <c r="K76" t="s">
        <v>29</v>
      </c>
      <c r="L76" t="s">
        <v>16</v>
      </c>
    </row>
    <row r="77" spans="1:12" ht="14.25" x14ac:dyDescent="0.2">
      <c r="A77">
        <v>75</v>
      </c>
      <c r="B77">
        <v>2021</v>
      </c>
      <c r="C77" t="s">
        <v>17</v>
      </c>
      <c r="D77" t="s">
        <v>12</v>
      </c>
      <c r="E77" t="s">
        <v>13</v>
      </c>
      <c r="F77">
        <v>45000</v>
      </c>
      <c r="G77" t="s">
        <v>14</v>
      </c>
      <c r="H77">
        <v>53192</v>
      </c>
      <c r="I77" t="s">
        <v>38</v>
      </c>
      <c r="J77">
        <v>50</v>
      </c>
      <c r="K77" t="s">
        <v>38</v>
      </c>
      <c r="L77" t="s">
        <v>16</v>
      </c>
    </row>
    <row r="78" spans="1:12" ht="14.25" x14ac:dyDescent="0.2">
      <c r="A78">
        <v>76</v>
      </c>
      <c r="B78">
        <v>2021</v>
      </c>
      <c r="C78" t="s">
        <v>11</v>
      </c>
      <c r="D78" t="s">
        <v>12</v>
      </c>
      <c r="E78" t="s">
        <v>51</v>
      </c>
      <c r="F78">
        <v>100000</v>
      </c>
      <c r="G78" t="s">
        <v>19</v>
      </c>
      <c r="H78">
        <v>100000</v>
      </c>
      <c r="I78" t="s">
        <v>29</v>
      </c>
      <c r="J78">
        <v>100</v>
      </c>
      <c r="K78" t="s">
        <v>29</v>
      </c>
      <c r="L78" t="s">
        <v>25</v>
      </c>
    </row>
    <row r="79" spans="1:12" ht="14.25" x14ac:dyDescent="0.2">
      <c r="A79">
        <v>77</v>
      </c>
      <c r="B79">
        <v>2021</v>
      </c>
      <c r="C79" t="s">
        <v>11</v>
      </c>
      <c r="D79" t="s">
        <v>47</v>
      </c>
      <c r="E79" t="s">
        <v>82</v>
      </c>
      <c r="F79">
        <v>400000</v>
      </c>
      <c r="G79" t="s">
        <v>39</v>
      </c>
      <c r="H79">
        <v>5409</v>
      </c>
      <c r="I79" t="s">
        <v>40</v>
      </c>
      <c r="J79">
        <v>50</v>
      </c>
      <c r="K79" t="s">
        <v>40</v>
      </c>
      <c r="L79" t="s">
        <v>25</v>
      </c>
    </row>
    <row r="80" spans="1:12" ht="14.25" x14ac:dyDescent="0.2">
      <c r="A80">
        <v>78</v>
      </c>
      <c r="B80">
        <v>2021</v>
      </c>
      <c r="C80" t="s">
        <v>11</v>
      </c>
      <c r="D80" t="s">
        <v>59</v>
      </c>
      <c r="E80" t="s">
        <v>69</v>
      </c>
      <c r="F80">
        <v>270000</v>
      </c>
      <c r="G80" t="s">
        <v>19</v>
      </c>
      <c r="H80">
        <v>270000</v>
      </c>
      <c r="I80" t="s">
        <v>29</v>
      </c>
      <c r="J80">
        <v>100</v>
      </c>
      <c r="K80" t="s">
        <v>29</v>
      </c>
      <c r="L80" t="s">
        <v>16</v>
      </c>
    </row>
    <row r="81" spans="1:12" ht="14.25" x14ac:dyDescent="0.2">
      <c r="A81">
        <v>79</v>
      </c>
      <c r="B81">
        <v>2021</v>
      </c>
      <c r="C81" t="s">
        <v>30</v>
      </c>
      <c r="D81" t="s">
        <v>12</v>
      </c>
      <c r="E81" t="s">
        <v>31</v>
      </c>
      <c r="F81">
        <v>80000</v>
      </c>
      <c r="G81" t="s">
        <v>19</v>
      </c>
      <c r="H81">
        <v>80000</v>
      </c>
      <c r="I81" t="s">
        <v>29</v>
      </c>
      <c r="J81">
        <v>100</v>
      </c>
      <c r="K81" t="s">
        <v>29</v>
      </c>
      <c r="L81" t="s">
        <v>25</v>
      </c>
    </row>
    <row r="82" spans="1:12" ht="14.25" x14ac:dyDescent="0.2">
      <c r="A82">
        <v>80</v>
      </c>
      <c r="B82">
        <v>2021</v>
      </c>
      <c r="C82" t="s">
        <v>17</v>
      </c>
      <c r="D82" t="s">
        <v>12</v>
      </c>
      <c r="E82" t="s">
        <v>83</v>
      </c>
      <c r="F82">
        <v>67000</v>
      </c>
      <c r="G82" t="s">
        <v>14</v>
      </c>
      <c r="H82">
        <v>79197</v>
      </c>
      <c r="I82" t="s">
        <v>15</v>
      </c>
      <c r="J82">
        <v>100</v>
      </c>
      <c r="K82" t="s">
        <v>15</v>
      </c>
      <c r="L82" t="s">
        <v>16</v>
      </c>
    </row>
    <row r="83" spans="1:12" ht="14.25" x14ac:dyDescent="0.2">
      <c r="A83">
        <v>81</v>
      </c>
      <c r="B83">
        <v>2021</v>
      </c>
      <c r="C83" t="s">
        <v>11</v>
      </c>
      <c r="D83" t="s">
        <v>12</v>
      </c>
      <c r="E83" t="s">
        <v>43</v>
      </c>
      <c r="F83">
        <v>140000</v>
      </c>
      <c r="G83" t="s">
        <v>19</v>
      </c>
      <c r="H83">
        <v>140000</v>
      </c>
      <c r="I83" t="s">
        <v>29</v>
      </c>
      <c r="J83">
        <v>100</v>
      </c>
      <c r="K83" t="s">
        <v>29</v>
      </c>
      <c r="L83" t="s">
        <v>16</v>
      </c>
    </row>
    <row r="84" spans="1:12" ht="14.25" x14ac:dyDescent="0.2">
      <c r="A84">
        <v>82</v>
      </c>
      <c r="B84">
        <v>2021</v>
      </c>
      <c r="C84" t="s">
        <v>11</v>
      </c>
      <c r="D84" t="s">
        <v>12</v>
      </c>
      <c r="E84" t="s">
        <v>84</v>
      </c>
      <c r="F84">
        <v>68000</v>
      </c>
      <c r="G84" t="s">
        <v>61</v>
      </c>
      <c r="H84">
        <v>54238</v>
      </c>
      <c r="I84" t="s">
        <v>24</v>
      </c>
      <c r="J84">
        <v>50</v>
      </c>
      <c r="K84" t="s">
        <v>62</v>
      </c>
      <c r="L84" t="s">
        <v>16</v>
      </c>
    </row>
    <row r="85" spans="1:12" ht="14.25" x14ac:dyDescent="0.2">
      <c r="A85">
        <v>83</v>
      </c>
      <c r="B85">
        <v>2021</v>
      </c>
      <c r="C85" t="s">
        <v>11</v>
      </c>
      <c r="D85" t="s">
        <v>12</v>
      </c>
      <c r="E85" t="s">
        <v>28</v>
      </c>
      <c r="F85">
        <v>40000</v>
      </c>
      <c r="G85" t="s">
        <v>14</v>
      </c>
      <c r="H85">
        <v>47282</v>
      </c>
      <c r="I85" t="s">
        <v>67</v>
      </c>
      <c r="J85">
        <v>100</v>
      </c>
      <c r="K85" t="s">
        <v>67</v>
      </c>
      <c r="L85" t="s">
        <v>21</v>
      </c>
    </row>
    <row r="86" spans="1:12" ht="14.25" x14ac:dyDescent="0.2">
      <c r="A86">
        <v>84</v>
      </c>
      <c r="B86">
        <v>2021</v>
      </c>
      <c r="C86" t="s">
        <v>53</v>
      </c>
      <c r="D86" t="s">
        <v>12</v>
      </c>
      <c r="E86" t="s">
        <v>54</v>
      </c>
      <c r="F86">
        <v>130000</v>
      </c>
      <c r="G86" t="s">
        <v>14</v>
      </c>
      <c r="H86">
        <v>153667</v>
      </c>
      <c r="I86" t="s">
        <v>77</v>
      </c>
      <c r="J86">
        <v>100</v>
      </c>
      <c r="K86" t="s">
        <v>45</v>
      </c>
      <c r="L86" t="s">
        <v>16</v>
      </c>
    </row>
    <row r="87" spans="1:12" ht="14.25" x14ac:dyDescent="0.2">
      <c r="A87">
        <v>85</v>
      </c>
      <c r="B87">
        <v>2021</v>
      </c>
      <c r="C87" t="s">
        <v>11</v>
      </c>
      <c r="D87" t="s">
        <v>12</v>
      </c>
      <c r="E87" t="s">
        <v>43</v>
      </c>
      <c r="F87">
        <v>110000</v>
      </c>
      <c r="G87" t="s">
        <v>85</v>
      </c>
      <c r="H87">
        <v>28476</v>
      </c>
      <c r="I87" t="s">
        <v>45</v>
      </c>
      <c r="J87">
        <v>100</v>
      </c>
      <c r="K87" t="s">
        <v>45</v>
      </c>
      <c r="L87" t="s">
        <v>16</v>
      </c>
    </row>
    <row r="88" spans="1:12" ht="14.25" x14ac:dyDescent="0.2">
      <c r="A88">
        <v>86</v>
      </c>
      <c r="B88">
        <v>2021</v>
      </c>
      <c r="C88" t="s">
        <v>30</v>
      </c>
      <c r="D88" t="s">
        <v>12</v>
      </c>
      <c r="E88" t="s">
        <v>31</v>
      </c>
      <c r="F88">
        <v>50000</v>
      </c>
      <c r="G88" t="s">
        <v>14</v>
      </c>
      <c r="H88">
        <v>59102</v>
      </c>
      <c r="I88" t="s">
        <v>38</v>
      </c>
      <c r="J88">
        <v>50</v>
      </c>
      <c r="K88" t="s">
        <v>38</v>
      </c>
      <c r="L88" t="s">
        <v>25</v>
      </c>
    </row>
    <row r="89" spans="1:12" ht="14.25" x14ac:dyDescent="0.2">
      <c r="A89">
        <v>87</v>
      </c>
      <c r="B89">
        <v>2021</v>
      </c>
      <c r="C89" t="s">
        <v>11</v>
      </c>
      <c r="D89" t="s">
        <v>12</v>
      </c>
      <c r="E89" t="s">
        <v>83</v>
      </c>
      <c r="F89">
        <v>110000</v>
      </c>
      <c r="G89" t="s">
        <v>19</v>
      </c>
      <c r="H89">
        <v>110000</v>
      </c>
      <c r="I89" t="s">
        <v>29</v>
      </c>
      <c r="J89">
        <v>100</v>
      </c>
      <c r="K89" t="s">
        <v>29</v>
      </c>
      <c r="L89" t="s">
        <v>16</v>
      </c>
    </row>
    <row r="90" spans="1:12" ht="14.25" x14ac:dyDescent="0.2">
      <c r="A90">
        <v>88</v>
      </c>
      <c r="B90">
        <v>2021</v>
      </c>
      <c r="C90" t="s">
        <v>17</v>
      </c>
      <c r="D90" t="s">
        <v>12</v>
      </c>
      <c r="E90" t="s">
        <v>41</v>
      </c>
      <c r="F90">
        <v>170000</v>
      </c>
      <c r="G90" t="s">
        <v>19</v>
      </c>
      <c r="H90">
        <v>170000</v>
      </c>
      <c r="I90" t="s">
        <v>29</v>
      </c>
      <c r="J90">
        <v>100</v>
      </c>
      <c r="K90" t="s">
        <v>29</v>
      </c>
      <c r="L90" t="s">
        <v>16</v>
      </c>
    </row>
    <row r="91" spans="1:12" ht="14.25" x14ac:dyDescent="0.2">
      <c r="A91">
        <v>89</v>
      </c>
      <c r="B91">
        <v>2021</v>
      </c>
      <c r="C91" t="s">
        <v>17</v>
      </c>
      <c r="D91" t="s">
        <v>12</v>
      </c>
      <c r="E91" t="s">
        <v>31</v>
      </c>
      <c r="F91">
        <v>80000</v>
      </c>
      <c r="G91" t="s">
        <v>19</v>
      </c>
      <c r="H91">
        <v>80000</v>
      </c>
      <c r="I91" t="s">
        <v>86</v>
      </c>
      <c r="J91">
        <v>100</v>
      </c>
      <c r="K91" t="s">
        <v>29</v>
      </c>
      <c r="L91" t="s">
        <v>21</v>
      </c>
    </row>
    <row r="92" spans="1:12" ht="14.25" x14ac:dyDescent="0.2">
      <c r="A92">
        <v>90</v>
      </c>
      <c r="B92">
        <v>2021</v>
      </c>
      <c r="C92" t="s">
        <v>17</v>
      </c>
      <c r="D92" t="s">
        <v>12</v>
      </c>
      <c r="E92" t="s">
        <v>87</v>
      </c>
      <c r="F92">
        <v>75000</v>
      </c>
      <c r="G92" t="s">
        <v>14</v>
      </c>
      <c r="H92">
        <v>88654</v>
      </c>
      <c r="I92" t="s">
        <v>50</v>
      </c>
      <c r="J92">
        <v>100</v>
      </c>
      <c r="K92" t="s">
        <v>72</v>
      </c>
      <c r="L92" t="s">
        <v>16</v>
      </c>
    </row>
    <row r="93" spans="1:12" ht="14.25" x14ac:dyDescent="0.2">
      <c r="A93">
        <v>91</v>
      </c>
      <c r="B93">
        <v>2021</v>
      </c>
      <c r="C93" t="s">
        <v>30</v>
      </c>
      <c r="D93" t="s">
        <v>12</v>
      </c>
      <c r="E93" t="s">
        <v>46</v>
      </c>
      <c r="F93">
        <v>65000</v>
      </c>
      <c r="G93" t="s">
        <v>14</v>
      </c>
      <c r="H93">
        <v>76833</v>
      </c>
      <c r="I93" t="s">
        <v>15</v>
      </c>
      <c r="J93">
        <v>100</v>
      </c>
      <c r="K93" t="s">
        <v>15</v>
      </c>
      <c r="L93" t="s">
        <v>21</v>
      </c>
    </row>
    <row r="94" spans="1:12" ht="14.25" x14ac:dyDescent="0.2">
      <c r="A94">
        <v>92</v>
      </c>
      <c r="B94">
        <v>2021</v>
      </c>
      <c r="C94" t="s">
        <v>11</v>
      </c>
      <c r="D94" t="s">
        <v>12</v>
      </c>
      <c r="E94" t="s">
        <v>41</v>
      </c>
      <c r="F94">
        <v>1450000</v>
      </c>
      <c r="G94" t="s">
        <v>39</v>
      </c>
      <c r="H94">
        <v>19609</v>
      </c>
      <c r="I94" t="s">
        <v>40</v>
      </c>
      <c r="J94">
        <v>100</v>
      </c>
      <c r="K94" t="s">
        <v>40</v>
      </c>
      <c r="L94" t="s">
        <v>16</v>
      </c>
    </row>
    <row r="95" spans="1:12" ht="14.25" x14ac:dyDescent="0.2">
      <c r="A95">
        <v>93</v>
      </c>
      <c r="B95">
        <v>2021</v>
      </c>
      <c r="C95" t="s">
        <v>17</v>
      </c>
      <c r="D95" t="s">
        <v>12</v>
      </c>
      <c r="E95" t="s">
        <v>36</v>
      </c>
      <c r="F95">
        <v>276000</v>
      </c>
      <c r="G95" t="s">
        <v>19</v>
      </c>
      <c r="H95">
        <v>276000</v>
      </c>
      <c r="I95" t="s">
        <v>29</v>
      </c>
      <c r="J95">
        <v>0</v>
      </c>
      <c r="K95" t="s">
        <v>29</v>
      </c>
      <c r="L95" t="s">
        <v>16</v>
      </c>
    </row>
    <row r="96" spans="1:12" ht="14.25" x14ac:dyDescent="0.2">
      <c r="A96">
        <v>94</v>
      </c>
      <c r="B96">
        <v>2021</v>
      </c>
      <c r="C96" t="s">
        <v>30</v>
      </c>
      <c r="D96" t="s">
        <v>12</v>
      </c>
      <c r="E96" t="s">
        <v>13</v>
      </c>
      <c r="F96">
        <v>2200000</v>
      </c>
      <c r="G96" t="s">
        <v>39</v>
      </c>
      <c r="H96">
        <v>29751</v>
      </c>
      <c r="I96" t="s">
        <v>40</v>
      </c>
      <c r="J96">
        <v>50</v>
      </c>
      <c r="K96" t="s">
        <v>40</v>
      </c>
      <c r="L96" t="s">
        <v>16</v>
      </c>
    </row>
    <row r="97" spans="1:12" ht="14.25" x14ac:dyDescent="0.2">
      <c r="A97">
        <v>95</v>
      </c>
      <c r="B97">
        <v>2021</v>
      </c>
      <c r="C97" t="s">
        <v>11</v>
      </c>
      <c r="D97" t="s">
        <v>12</v>
      </c>
      <c r="E97" t="s">
        <v>88</v>
      </c>
      <c r="F97">
        <v>120000</v>
      </c>
      <c r="G97" t="s">
        <v>89</v>
      </c>
      <c r="H97">
        <v>89294</v>
      </c>
      <c r="I97" t="s">
        <v>90</v>
      </c>
      <c r="J97">
        <v>50</v>
      </c>
      <c r="K97" t="s">
        <v>90</v>
      </c>
      <c r="L97" t="s">
        <v>16</v>
      </c>
    </row>
    <row r="98" spans="1:12" ht="14.25" x14ac:dyDescent="0.2">
      <c r="A98">
        <v>96</v>
      </c>
      <c r="B98">
        <v>2021</v>
      </c>
      <c r="C98" t="s">
        <v>30</v>
      </c>
      <c r="D98" t="s">
        <v>47</v>
      </c>
      <c r="E98" t="s">
        <v>70</v>
      </c>
      <c r="F98">
        <v>12000</v>
      </c>
      <c r="G98" t="s">
        <v>19</v>
      </c>
      <c r="H98">
        <v>12000</v>
      </c>
      <c r="I98" t="s">
        <v>91</v>
      </c>
      <c r="J98">
        <v>100</v>
      </c>
      <c r="K98" t="s">
        <v>29</v>
      </c>
      <c r="L98" t="s">
        <v>21</v>
      </c>
    </row>
    <row r="99" spans="1:12" ht="14.25" x14ac:dyDescent="0.2">
      <c r="A99">
        <v>97</v>
      </c>
      <c r="B99">
        <v>2021</v>
      </c>
      <c r="C99" t="s">
        <v>11</v>
      </c>
      <c r="D99" t="s">
        <v>12</v>
      </c>
      <c r="E99" t="s">
        <v>92</v>
      </c>
      <c r="F99">
        <v>450000</v>
      </c>
      <c r="G99" t="s">
        <v>19</v>
      </c>
      <c r="H99">
        <v>450000</v>
      </c>
      <c r="I99" t="s">
        <v>29</v>
      </c>
      <c r="J99">
        <v>100</v>
      </c>
      <c r="K99" t="s">
        <v>29</v>
      </c>
      <c r="L99" t="s">
        <v>16</v>
      </c>
    </row>
    <row r="100" spans="1:12" ht="14.25" x14ac:dyDescent="0.2">
      <c r="A100">
        <v>98</v>
      </c>
      <c r="B100">
        <v>2021</v>
      </c>
      <c r="C100" t="s">
        <v>30</v>
      </c>
      <c r="D100" t="s">
        <v>12</v>
      </c>
      <c r="E100" t="s">
        <v>93</v>
      </c>
      <c r="F100">
        <v>70000</v>
      </c>
      <c r="G100" t="s">
        <v>19</v>
      </c>
      <c r="H100">
        <v>70000</v>
      </c>
      <c r="I100" t="s">
        <v>29</v>
      </c>
      <c r="J100">
        <v>100</v>
      </c>
      <c r="K100" t="s">
        <v>29</v>
      </c>
      <c r="L100" t="s">
        <v>25</v>
      </c>
    </row>
    <row r="101" spans="1:12" ht="14.25" x14ac:dyDescent="0.2">
      <c r="A101">
        <v>99</v>
      </c>
      <c r="B101">
        <v>2021</v>
      </c>
      <c r="C101" t="s">
        <v>11</v>
      </c>
      <c r="D101" t="s">
        <v>12</v>
      </c>
      <c r="E101" t="s">
        <v>93</v>
      </c>
      <c r="F101">
        <v>81000</v>
      </c>
      <c r="G101" t="s">
        <v>14</v>
      </c>
      <c r="H101">
        <v>95746</v>
      </c>
      <c r="I101" t="s">
        <v>15</v>
      </c>
      <c r="J101">
        <v>100</v>
      </c>
      <c r="K101" t="s">
        <v>29</v>
      </c>
      <c r="L101" t="s">
        <v>21</v>
      </c>
    </row>
    <row r="102" spans="1:12" ht="14.25" x14ac:dyDescent="0.2">
      <c r="A102">
        <v>100</v>
      </c>
      <c r="B102">
        <v>2021</v>
      </c>
      <c r="C102" t="s">
        <v>11</v>
      </c>
      <c r="D102" t="s">
        <v>12</v>
      </c>
      <c r="E102" t="s">
        <v>31</v>
      </c>
      <c r="F102">
        <v>75000</v>
      </c>
      <c r="G102" t="s">
        <v>19</v>
      </c>
      <c r="H102">
        <v>75000</v>
      </c>
      <c r="I102" t="s">
        <v>29</v>
      </c>
      <c r="J102">
        <v>0</v>
      </c>
      <c r="K102" t="s">
        <v>29</v>
      </c>
      <c r="L102" t="s">
        <v>16</v>
      </c>
    </row>
    <row r="103" spans="1:12" ht="14.25" x14ac:dyDescent="0.2">
      <c r="A103">
        <v>101</v>
      </c>
      <c r="B103">
        <v>2021</v>
      </c>
      <c r="C103" t="s">
        <v>17</v>
      </c>
      <c r="D103" t="s">
        <v>12</v>
      </c>
      <c r="E103" t="s">
        <v>43</v>
      </c>
      <c r="F103">
        <v>150000</v>
      </c>
      <c r="G103" t="s">
        <v>19</v>
      </c>
      <c r="H103">
        <v>150000</v>
      </c>
      <c r="I103" t="s">
        <v>29</v>
      </c>
      <c r="J103">
        <v>100</v>
      </c>
      <c r="K103" t="s">
        <v>29</v>
      </c>
      <c r="L103" t="s">
        <v>16</v>
      </c>
    </row>
    <row r="104" spans="1:12" ht="14.25" x14ac:dyDescent="0.2">
      <c r="A104">
        <v>102</v>
      </c>
      <c r="B104">
        <v>2021</v>
      </c>
      <c r="C104" t="s">
        <v>11</v>
      </c>
      <c r="D104" t="s">
        <v>12</v>
      </c>
      <c r="E104" t="s">
        <v>51</v>
      </c>
      <c r="F104">
        <v>11000000</v>
      </c>
      <c r="G104" t="s">
        <v>33</v>
      </c>
      <c r="H104">
        <v>36259</v>
      </c>
      <c r="I104" t="s">
        <v>34</v>
      </c>
      <c r="J104">
        <v>50</v>
      </c>
      <c r="K104" t="s">
        <v>29</v>
      </c>
      <c r="L104" t="s">
        <v>16</v>
      </c>
    </row>
    <row r="105" spans="1:12" ht="14.25" x14ac:dyDescent="0.2">
      <c r="A105">
        <v>103</v>
      </c>
      <c r="B105">
        <v>2021</v>
      </c>
      <c r="C105" t="s">
        <v>11</v>
      </c>
      <c r="D105" t="s">
        <v>12</v>
      </c>
      <c r="E105" t="s">
        <v>31</v>
      </c>
      <c r="F105">
        <v>62000</v>
      </c>
      <c r="G105" t="s">
        <v>19</v>
      </c>
      <c r="H105">
        <v>62000</v>
      </c>
      <c r="I105" t="s">
        <v>29</v>
      </c>
      <c r="J105">
        <v>0</v>
      </c>
      <c r="K105" t="s">
        <v>29</v>
      </c>
      <c r="L105" t="s">
        <v>16</v>
      </c>
    </row>
    <row r="106" spans="1:12" ht="14.25" x14ac:dyDescent="0.2">
      <c r="A106">
        <v>104</v>
      </c>
      <c r="B106">
        <v>2021</v>
      </c>
      <c r="C106" t="s">
        <v>11</v>
      </c>
      <c r="D106" t="s">
        <v>12</v>
      </c>
      <c r="E106" t="s">
        <v>13</v>
      </c>
      <c r="F106">
        <v>73000</v>
      </c>
      <c r="G106" t="s">
        <v>19</v>
      </c>
      <c r="H106">
        <v>73000</v>
      </c>
      <c r="I106" t="s">
        <v>29</v>
      </c>
      <c r="J106">
        <v>0</v>
      </c>
      <c r="K106" t="s">
        <v>29</v>
      </c>
      <c r="L106" t="s">
        <v>16</v>
      </c>
    </row>
    <row r="107" spans="1:12" ht="14.25" x14ac:dyDescent="0.2">
      <c r="A107">
        <v>105</v>
      </c>
      <c r="B107">
        <v>2021</v>
      </c>
      <c r="C107" t="s">
        <v>11</v>
      </c>
      <c r="D107" t="s">
        <v>12</v>
      </c>
      <c r="E107" t="s">
        <v>31</v>
      </c>
      <c r="F107">
        <v>37456</v>
      </c>
      <c r="G107" t="s">
        <v>23</v>
      </c>
      <c r="H107">
        <v>51519</v>
      </c>
      <c r="I107" t="s">
        <v>24</v>
      </c>
      <c r="J107">
        <v>50</v>
      </c>
      <c r="K107" t="s">
        <v>24</v>
      </c>
      <c r="L107" t="s">
        <v>16</v>
      </c>
    </row>
    <row r="108" spans="1:12" ht="14.25" x14ac:dyDescent="0.2">
      <c r="A108">
        <v>106</v>
      </c>
      <c r="B108">
        <v>2021</v>
      </c>
      <c r="C108" t="s">
        <v>11</v>
      </c>
      <c r="D108" t="s">
        <v>12</v>
      </c>
      <c r="E108" t="s">
        <v>55</v>
      </c>
      <c r="F108">
        <v>235000</v>
      </c>
      <c r="G108" t="s">
        <v>61</v>
      </c>
      <c r="H108">
        <v>187442</v>
      </c>
      <c r="I108" t="s">
        <v>62</v>
      </c>
      <c r="J108">
        <v>100</v>
      </c>
      <c r="K108" t="s">
        <v>62</v>
      </c>
      <c r="L108" t="s">
        <v>16</v>
      </c>
    </row>
    <row r="109" spans="1:12" ht="14.25" x14ac:dyDescent="0.2">
      <c r="A109">
        <v>107</v>
      </c>
      <c r="B109">
        <v>2021</v>
      </c>
      <c r="C109" t="s">
        <v>17</v>
      </c>
      <c r="D109" t="s">
        <v>12</v>
      </c>
      <c r="E109" t="s">
        <v>43</v>
      </c>
      <c r="F109">
        <v>115000</v>
      </c>
      <c r="G109" t="s">
        <v>19</v>
      </c>
      <c r="H109">
        <v>115000</v>
      </c>
      <c r="I109" t="s">
        <v>29</v>
      </c>
      <c r="J109">
        <v>100</v>
      </c>
      <c r="K109" t="s">
        <v>29</v>
      </c>
      <c r="L109" t="s">
        <v>21</v>
      </c>
    </row>
    <row r="110" spans="1:12" ht="14.25" x14ac:dyDescent="0.2">
      <c r="A110">
        <v>108</v>
      </c>
      <c r="B110">
        <v>2021</v>
      </c>
      <c r="C110" t="s">
        <v>17</v>
      </c>
      <c r="D110" t="s">
        <v>12</v>
      </c>
      <c r="E110" t="s">
        <v>43</v>
      </c>
      <c r="F110">
        <v>150000</v>
      </c>
      <c r="G110" t="s">
        <v>19</v>
      </c>
      <c r="H110">
        <v>150000</v>
      </c>
      <c r="I110" t="s">
        <v>29</v>
      </c>
      <c r="J110">
        <v>100</v>
      </c>
      <c r="K110" t="s">
        <v>29</v>
      </c>
      <c r="L110" t="s">
        <v>25</v>
      </c>
    </row>
    <row r="111" spans="1:12" ht="14.25" x14ac:dyDescent="0.2">
      <c r="A111">
        <v>109</v>
      </c>
      <c r="B111">
        <v>2021</v>
      </c>
      <c r="C111" t="s">
        <v>30</v>
      </c>
      <c r="D111" t="s">
        <v>12</v>
      </c>
      <c r="E111" t="s">
        <v>43</v>
      </c>
      <c r="F111">
        <v>2250000</v>
      </c>
      <c r="G111" t="s">
        <v>39</v>
      </c>
      <c r="H111">
        <v>30428</v>
      </c>
      <c r="I111" t="s">
        <v>40</v>
      </c>
      <c r="J111">
        <v>100</v>
      </c>
      <c r="K111" t="s">
        <v>40</v>
      </c>
      <c r="L111" t="s">
        <v>16</v>
      </c>
    </row>
    <row r="112" spans="1:12" ht="14.25" x14ac:dyDescent="0.2">
      <c r="A112">
        <v>110</v>
      </c>
      <c r="B112">
        <v>2021</v>
      </c>
      <c r="C112" t="s">
        <v>17</v>
      </c>
      <c r="D112" t="s">
        <v>12</v>
      </c>
      <c r="E112" t="s">
        <v>28</v>
      </c>
      <c r="F112">
        <v>80000</v>
      </c>
      <c r="G112" t="s">
        <v>14</v>
      </c>
      <c r="H112">
        <v>94564</v>
      </c>
      <c r="I112" t="s">
        <v>15</v>
      </c>
      <c r="J112">
        <v>50</v>
      </c>
      <c r="K112" t="s">
        <v>15</v>
      </c>
      <c r="L112" t="s">
        <v>16</v>
      </c>
    </row>
    <row r="113" spans="1:12" ht="14.25" x14ac:dyDescent="0.2">
      <c r="A113">
        <v>111</v>
      </c>
      <c r="B113">
        <v>2021</v>
      </c>
      <c r="C113" t="s">
        <v>17</v>
      </c>
      <c r="D113" t="s">
        <v>12</v>
      </c>
      <c r="E113" t="s">
        <v>94</v>
      </c>
      <c r="F113">
        <v>82500</v>
      </c>
      <c r="G113" t="s">
        <v>23</v>
      </c>
      <c r="H113">
        <v>113476</v>
      </c>
      <c r="I113" t="s">
        <v>24</v>
      </c>
      <c r="J113">
        <v>100</v>
      </c>
      <c r="K113" t="s">
        <v>24</v>
      </c>
      <c r="L113" t="s">
        <v>25</v>
      </c>
    </row>
    <row r="114" spans="1:12" ht="14.25" x14ac:dyDescent="0.2">
      <c r="A114">
        <v>112</v>
      </c>
      <c r="B114">
        <v>2021</v>
      </c>
      <c r="C114" t="s">
        <v>17</v>
      </c>
      <c r="D114" t="s">
        <v>12</v>
      </c>
      <c r="E114" t="s">
        <v>36</v>
      </c>
      <c r="F114">
        <v>75000</v>
      </c>
      <c r="G114" t="s">
        <v>23</v>
      </c>
      <c r="H114">
        <v>103160</v>
      </c>
      <c r="I114" t="s">
        <v>24</v>
      </c>
      <c r="J114">
        <v>100</v>
      </c>
      <c r="K114" t="s">
        <v>24</v>
      </c>
      <c r="L114" t="s">
        <v>21</v>
      </c>
    </row>
    <row r="115" spans="1:12" ht="14.25" x14ac:dyDescent="0.2">
      <c r="A115">
        <v>113</v>
      </c>
      <c r="B115">
        <v>2021</v>
      </c>
      <c r="C115" t="s">
        <v>30</v>
      </c>
      <c r="D115" t="s">
        <v>47</v>
      </c>
      <c r="E115" t="s">
        <v>70</v>
      </c>
      <c r="F115">
        <v>12000</v>
      </c>
      <c r="G115" t="s">
        <v>19</v>
      </c>
      <c r="H115">
        <v>12000</v>
      </c>
      <c r="I115" t="s">
        <v>42</v>
      </c>
      <c r="J115">
        <v>100</v>
      </c>
      <c r="K115" t="s">
        <v>29</v>
      </c>
      <c r="L115" t="s">
        <v>25</v>
      </c>
    </row>
    <row r="116" spans="1:12" ht="14.25" x14ac:dyDescent="0.2">
      <c r="A116">
        <v>114</v>
      </c>
      <c r="B116">
        <v>2021</v>
      </c>
      <c r="C116" t="s">
        <v>11</v>
      </c>
      <c r="D116" t="s">
        <v>12</v>
      </c>
      <c r="E116" t="s">
        <v>43</v>
      </c>
      <c r="F116">
        <v>38400</v>
      </c>
      <c r="G116" t="s">
        <v>14</v>
      </c>
      <c r="H116">
        <v>45391</v>
      </c>
      <c r="I116" t="s">
        <v>56</v>
      </c>
      <c r="J116">
        <v>100</v>
      </c>
      <c r="K116" t="s">
        <v>56</v>
      </c>
      <c r="L116" t="s">
        <v>16</v>
      </c>
    </row>
    <row r="117" spans="1:12" ht="14.25" x14ac:dyDescent="0.2">
      <c r="A117">
        <v>115</v>
      </c>
      <c r="B117">
        <v>2021</v>
      </c>
      <c r="C117" t="s">
        <v>30</v>
      </c>
      <c r="D117" t="s">
        <v>12</v>
      </c>
      <c r="E117" t="s">
        <v>18</v>
      </c>
      <c r="F117">
        <v>225000</v>
      </c>
      <c r="G117" t="s">
        <v>19</v>
      </c>
      <c r="H117">
        <v>225000</v>
      </c>
      <c r="I117" t="s">
        <v>29</v>
      </c>
      <c r="J117">
        <v>100</v>
      </c>
      <c r="K117" t="s">
        <v>29</v>
      </c>
      <c r="L117" t="s">
        <v>16</v>
      </c>
    </row>
    <row r="118" spans="1:12" ht="14.25" x14ac:dyDescent="0.2">
      <c r="A118">
        <v>116</v>
      </c>
      <c r="B118">
        <v>2021</v>
      </c>
      <c r="C118" t="s">
        <v>11</v>
      </c>
      <c r="D118" t="s">
        <v>12</v>
      </c>
      <c r="E118" t="s">
        <v>13</v>
      </c>
      <c r="F118">
        <v>50000</v>
      </c>
      <c r="G118" t="s">
        <v>19</v>
      </c>
      <c r="H118">
        <v>50000</v>
      </c>
      <c r="I118" t="s">
        <v>65</v>
      </c>
      <c r="J118">
        <v>100</v>
      </c>
      <c r="K118" t="s">
        <v>65</v>
      </c>
      <c r="L118" t="s">
        <v>16</v>
      </c>
    </row>
    <row r="119" spans="1:12" ht="14.25" x14ac:dyDescent="0.2">
      <c r="A119">
        <v>117</v>
      </c>
      <c r="B119">
        <v>2021</v>
      </c>
      <c r="C119" t="s">
        <v>11</v>
      </c>
      <c r="D119" t="s">
        <v>12</v>
      </c>
      <c r="E119" t="s">
        <v>95</v>
      </c>
      <c r="F119">
        <v>34000</v>
      </c>
      <c r="G119" t="s">
        <v>14</v>
      </c>
      <c r="H119">
        <v>40189</v>
      </c>
      <c r="I119" t="s">
        <v>50</v>
      </c>
      <c r="J119">
        <v>100</v>
      </c>
      <c r="K119" t="s">
        <v>50</v>
      </c>
      <c r="L119" t="s">
        <v>25</v>
      </c>
    </row>
    <row r="120" spans="1:12" ht="14.25" x14ac:dyDescent="0.2">
      <c r="A120">
        <v>118</v>
      </c>
      <c r="B120">
        <v>2021</v>
      </c>
      <c r="C120" t="s">
        <v>30</v>
      </c>
      <c r="D120" t="s">
        <v>12</v>
      </c>
      <c r="E120" t="s">
        <v>31</v>
      </c>
      <c r="F120">
        <v>90000</v>
      </c>
      <c r="G120" t="s">
        <v>19</v>
      </c>
      <c r="H120">
        <v>90000</v>
      </c>
      <c r="I120" t="s">
        <v>29</v>
      </c>
      <c r="J120">
        <v>100</v>
      </c>
      <c r="K120" t="s">
        <v>29</v>
      </c>
      <c r="L120" t="s">
        <v>21</v>
      </c>
    </row>
    <row r="121" spans="1:12" ht="14.25" x14ac:dyDescent="0.2">
      <c r="A121">
        <v>119</v>
      </c>
      <c r="B121">
        <v>2021</v>
      </c>
      <c r="C121" t="s">
        <v>11</v>
      </c>
      <c r="D121" t="s">
        <v>12</v>
      </c>
      <c r="E121" t="s">
        <v>43</v>
      </c>
      <c r="F121">
        <v>200000</v>
      </c>
      <c r="G121" t="s">
        <v>19</v>
      </c>
      <c r="H121">
        <v>200000</v>
      </c>
      <c r="I121" t="s">
        <v>29</v>
      </c>
      <c r="J121">
        <v>100</v>
      </c>
      <c r="K121" t="s">
        <v>29</v>
      </c>
      <c r="L121" t="s">
        <v>16</v>
      </c>
    </row>
    <row r="122" spans="1:12" ht="14.25" x14ac:dyDescent="0.2">
      <c r="A122">
        <v>120</v>
      </c>
      <c r="B122">
        <v>2021</v>
      </c>
      <c r="C122" t="s">
        <v>11</v>
      </c>
      <c r="D122" t="s">
        <v>12</v>
      </c>
      <c r="E122" t="s">
        <v>22</v>
      </c>
      <c r="F122">
        <v>60000</v>
      </c>
      <c r="G122" t="s">
        <v>19</v>
      </c>
      <c r="H122">
        <v>60000</v>
      </c>
      <c r="I122" t="s">
        <v>67</v>
      </c>
      <c r="J122">
        <v>50</v>
      </c>
      <c r="K122" t="s">
        <v>96</v>
      </c>
      <c r="L122" t="s">
        <v>25</v>
      </c>
    </row>
    <row r="123" spans="1:12" ht="14.25" x14ac:dyDescent="0.2">
      <c r="A123">
        <v>121</v>
      </c>
      <c r="B123">
        <v>2021</v>
      </c>
      <c r="C123" t="s">
        <v>17</v>
      </c>
      <c r="D123" t="s">
        <v>12</v>
      </c>
      <c r="E123" t="s">
        <v>97</v>
      </c>
      <c r="F123">
        <v>200000</v>
      </c>
      <c r="G123" t="s">
        <v>19</v>
      </c>
      <c r="H123">
        <v>200000</v>
      </c>
      <c r="I123" t="s">
        <v>29</v>
      </c>
      <c r="J123">
        <v>100</v>
      </c>
      <c r="K123" t="s">
        <v>29</v>
      </c>
      <c r="L123" t="s">
        <v>25</v>
      </c>
    </row>
    <row r="124" spans="1:12" ht="14.25" x14ac:dyDescent="0.2">
      <c r="A124">
        <v>122</v>
      </c>
      <c r="B124">
        <v>2021</v>
      </c>
      <c r="C124" t="s">
        <v>30</v>
      </c>
      <c r="D124" t="s">
        <v>12</v>
      </c>
      <c r="E124" t="s">
        <v>31</v>
      </c>
      <c r="F124">
        <v>50000</v>
      </c>
      <c r="G124" t="s">
        <v>19</v>
      </c>
      <c r="H124">
        <v>50000</v>
      </c>
      <c r="I124" t="s">
        <v>29</v>
      </c>
      <c r="J124">
        <v>100</v>
      </c>
      <c r="K124" t="s">
        <v>29</v>
      </c>
      <c r="L124" t="s">
        <v>25</v>
      </c>
    </row>
    <row r="125" spans="1:12" ht="14.25" x14ac:dyDescent="0.2">
      <c r="A125">
        <v>123</v>
      </c>
      <c r="B125">
        <v>2021</v>
      </c>
      <c r="C125" t="s">
        <v>30</v>
      </c>
      <c r="D125" t="s">
        <v>12</v>
      </c>
      <c r="E125" t="s">
        <v>84</v>
      </c>
      <c r="F125">
        <v>80000</v>
      </c>
      <c r="G125" t="s">
        <v>23</v>
      </c>
      <c r="H125">
        <v>110037</v>
      </c>
      <c r="I125" t="s">
        <v>24</v>
      </c>
      <c r="J125">
        <v>0</v>
      </c>
      <c r="K125" t="s">
        <v>24</v>
      </c>
      <c r="L125" t="s">
        <v>16</v>
      </c>
    </row>
    <row r="126" spans="1:12" ht="14.25" x14ac:dyDescent="0.2">
      <c r="A126">
        <v>124</v>
      </c>
      <c r="B126">
        <v>2021</v>
      </c>
      <c r="C126" t="s">
        <v>30</v>
      </c>
      <c r="D126" t="s">
        <v>47</v>
      </c>
      <c r="E126" t="s">
        <v>31</v>
      </c>
      <c r="F126">
        <v>8760</v>
      </c>
      <c r="G126" t="s">
        <v>14</v>
      </c>
      <c r="H126">
        <v>10354</v>
      </c>
      <c r="I126" t="s">
        <v>67</v>
      </c>
      <c r="J126">
        <v>50</v>
      </c>
      <c r="K126" t="s">
        <v>67</v>
      </c>
      <c r="L126" t="s">
        <v>25</v>
      </c>
    </row>
    <row r="127" spans="1:12" ht="14.25" x14ac:dyDescent="0.2">
      <c r="A127">
        <v>125</v>
      </c>
      <c r="B127">
        <v>2021</v>
      </c>
      <c r="C127" t="s">
        <v>11</v>
      </c>
      <c r="D127" t="s">
        <v>12</v>
      </c>
      <c r="E127" t="s">
        <v>76</v>
      </c>
      <c r="F127">
        <v>151000</v>
      </c>
      <c r="G127" t="s">
        <v>19</v>
      </c>
      <c r="H127">
        <v>151000</v>
      </c>
      <c r="I127" t="s">
        <v>29</v>
      </c>
      <c r="J127">
        <v>100</v>
      </c>
      <c r="K127" t="s">
        <v>29</v>
      </c>
      <c r="L127" t="s">
        <v>16</v>
      </c>
    </row>
    <row r="128" spans="1:12" ht="14.25" x14ac:dyDescent="0.2">
      <c r="A128">
        <v>126</v>
      </c>
      <c r="B128">
        <v>2021</v>
      </c>
      <c r="C128" t="s">
        <v>17</v>
      </c>
      <c r="D128" t="s">
        <v>12</v>
      </c>
      <c r="E128" t="s">
        <v>18</v>
      </c>
      <c r="F128">
        <v>120000</v>
      </c>
      <c r="G128" t="s">
        <v>19</v>
      </c>
      <c r="H128">
        <v>120000</v>
      </c>
      <c r="I128" t="s">
        <v>29</v>
      </c>
      <c r="J128">
        <v>50</v>
      </c>
      <c r="K128" t="s">
        <v>29</v>
      </c>
      <c r="L128" t="s">
        <v>21</v>
      </c>
    </row>
    <row r="129" spans="1:12" ht="14.25" x14ac:dyDescent="0.2">
      <c r="A129">
        <v>127</v>
      </c>
      <c r="B129">
        <v>2021</v>
      </c>
      <c r="C129" t="s">
        <v>11</v>
      </c>
      <c r="D129" t="s">
        <v>12</v>
      </c>
      <c r="E129" t="s">
        <v>13</v>
      </c>
      <c r="F129">
        <v>700000</v>
      </c>
      <c r="G129" t="s">
        <v>39</v>
      </c>
      <c r="H129">
        <v>9466</v>
      </c>
      <c r="I129" t="s">
        <v>40</v>
      </c>
      <c r="J129">
        <v>0</v>
      </c>
      <c r="K129" t="s">
        <v>40</v>
      </c>
      <c r="L129" t="s">
        <v>21</v>
      </c>
    </row>
    <row r="130" spans="1:12" ht="14.25" x14ac:dyDescent="0.2">
      <c r="A130">
        <v>128</v>
      </c>
      <c r="B130">
        <v>2021</v>
      </c>
      <c r="C130" t="s">
        <v>30</v>
      </c>
      <c r="D130" t="s">
        <v>12</v>
      </c>
      <c r="E130" t="s">
        <v>28</v>
      </c>
      <c r="F130">
        <v>20000</v>
      </c>
      <c r="G130" t="s">
        <v>19</v>
      </c>
      <c r="H130">
        <v>20000</v>
      </c>
      <c r="I130" t="s">
        <v>40</v>
      </c>
      <c r="J130">
        <v>100</v>
      </c>
      <c r="K130" t="s">
        <v>40</v>
      </c>
      <c r="L130" t="s">
        <v>21</v>
      </c>
    </row>
    <row r="131" spans="1:12" ht="14.25" x14ac:dyDescent="0.2">
      <c r="A131">
        <v>129</v>
      </c>
      <c r="B131">
        <v>2021</v>
      </c>
      <c r="C131" t="s">
        <v>17</v>
      </c>
      <c r="D131" t="s">
        <v>12</v>
      </c>
      <c r="E131" t="s">
        <v>32</v>
      </c>
      <c r="F131">
        <v>3000000</v>
      </c>
      <c r="G131" t="s">
        <v>39</v>
      </c>
      <c r="H131">
        <v>40570</v>
      </c>
      <c r="I131" t="s">
        <v>40</v>
      </c>
      <c r="J131">
        <v>50</v>
      </c>
      <c r="K131" t="s">
        <v>40</v>
      </c>
      <c r="L131" t="s">
        <v>16</v>
      </c>
    </row>
    <row r="132" spans="1:12" ht="14.25" x14ac:dyDescent="0.2">
      <c r="A132">
        <v>130</v>
      </c>
      <c r="B132">
        <v>2021</v>
      </c>
      <c r="C132" t="s">
        <v>30</v>
      </c>
      <c r="D132" t="s">
        <v>12</v>
      </c>
      <c r="E132" t="s">
        <v>98</v>
      </c>
      <c r="F132">
        <v>100000</v>
      </c>
      <c r="G132" t="s">
        <v>19</v>
      </c>
      <c r="H132">
        <v>100000</v>
      </c>
      <c r="I132" t="s">
        <v>99</v>
      </c>
      <c r="J132">
        <v>50</v>
      </c>
      <c r="K132" t="s">
        <v>99</v>
      </c>
      <c r="L132" t="s">
        <v>21</v>
      </c>
    </row>
    <row r="133" spans="1:12" ht="14.25" x14ac:dyDescent="0.2">
      <c r="A133">
        <v>131</v>
      </c>
      <c r="B133">
        <v>2021</v>
      </c>
      <c r="C133" t="s">
        <v>30</v>
      </c>
      <c r="D133" t="s">
        <v>12</v>
      </c>
      <c r="E133" t="s">
        <v>13</v>
      </c>
      <c r="F133">
        <v>42000</v>
      </c>
      <c r="G133" t="s">
        <v>14</v>
      </c>
      <c r="H133">
        <v>49646</v>
      </c>
      <c r="I133" t="s">
        <v>38</v>
      </c>
      <c r="J133">
        <v>50</v>
      </c>
      <c r="K133" t="s">
        <v>38</v>
      </c>
      <c r="L133" t="s">
        <v>25</v>
      </c>
    </row>
    <row r="134" spans="1:12" ht="14.25" x14ac:dyDescent="0.2">
      <c r="A134">
        <v>132</v>
      </c>
      <c r="B134">
        <v>2021</v>
      </c>
      <c r="C134" t="s">
        <v>11</v>
      </c>
      <c r="D134" t="s">
        <v>12</v>
      </c>
      <c r="E134" t="s">
        <v>100</v>
      </c>
      <c r="F134">
        <v>38400</v>
      </c>
      <c r="G134" t="s">
        <v>19</v>
      </c>
      <c r="H134">
        <v>38400</v>
      </c>
      <c r="I134" t="s">
        <v>101</v>
      </c>
      <c r="J134">
        <v>100</v>
      </c>
      <c r="K134" t="s">
        <v>29</v>
      </c>
      <c r="L134" t="s">
        <v>25</v>
      </c>
    </row>
    <row r="135" spans="1:12" ht="14.25" x14ac:dyDescent="0.2">
      <c r="A135">
        <v>133</v>
      </c>
      <c r="B135">
        <v>2021</v>
      </c>
      <c r="C135" t="s">
        <v>17</v>
      </c>
      <c r="D135" t="s">
        <v>12</v>
      </c>
      <c r="E135" t="s">
        <v>74</v>
      </c>
      <c r="F135">
        <v>24000</v>
      </c>
      <c r="G135" t="s">
        <v>19</v>
      </c>
      <c r="H135">
        <v>24000</v>
      </c>
      <c r="I135" t="s">
        <v>91</v>
      </c>
      <c r="J135">
        <v>100</v>
      </c>
      <c r="K135" t="s">
        <v>91</v>
      </c>
      <c r="L135" t="s">
        <v>25</v>
      </c>
    </row>
    <row r="136" spans="1:12" ht="14.25" x14ac:dyDescent="0.2">
      <c r="A136">
        <v>134</v>
      </c>
      <c r="B136">
        <v>2021</v>
      </c>
      <c r="C136" t="s">
        <v>30</v>
      </c>
      <c r="D136" t="s">
        <v>12</v>
      </c>
      <c r="E136" t="s">
        <v>13</v>
      </c>
      <c r="F136">
        <v>100000</v>
      </c>
      <c r="G136" t="s">
        <v>19</v>
      </c>
      <c r="H136">
        <v>100000</v>
      </c>
      <c r="I136" t="s">
        <v>29</v>
      </c>
      <c r="J136">
        <v>0</v>
      </c>
      <c r="K136" t="s">
        <v>29</v>
      </c>
      <c r="L136" t="s">
        <v>21</v>
      </c>
    </row>
    <row r="137" spans="1:12" ht="14.25" x14ac:dyDescent="0.2">
      <c r="A137">
        <v>135</v>
      </c>
      <c r="B137">
        <v>2021</v>
      </c>
      <c r="C137" t="s">
        <v>11</v>
      </c>
      <c r="D137" t="s">
        <v>12</v>
      </c>
      <c r="E137" t="s">
        <v>31</v>
      </c>
      <c r="F137">
        <v>90000</v>
      </c>
      <c r="G137" t="s">
        <v>19</v>
      </c>
      <c r="H137">
        <v>90000</v>
      </c>
      <c r="I137" t="s">
        <v>29</v>
      </c>
      <c r="J137">
        <v>100</v>
      </c>
      <c r="K137" t="s">
        <v>29</v>
      </c>
      <c r="L137" t="s">
        <v>25</v>
      </c>
    </row>
    <row r="138" spans="1:12" ht="14.25" x14ac:dyDescent="0.2">
      <c r="A138">
        <v>136</v>
      </c>
      <c r="B138">
        <v>2021</v>
      </c>
      <c r="C138" t="s">
        <v>11</v>
      </c>
      <c r="D138" t="s">
        <v>12</v>
      </c>
      <c r="E138" t="s">
        <v>69</v>
      </c>
      <c r="F138">
        <v>7000000</v>
      </c>
      <c r="G138" t="s">
        <v>44</v>
      </c>
      <c r="H138">
        <v>63711</v>
      </c>
      <c r="I138" t="s">
        <v>20</v>
      </c>
      <c r="J138">
        <v>50</v>
      </c>
      <c r="K138" t="s">
        <v>20</v>
      </c>
      <c r="L138" t="s">
        <v>21</v>
      </c>
    </row>
    <row r="139" spans="1:12" ht="14.25" x14ac:dyDescent="0.2">
      <c r="A139">
        <v>137</v>
      </c>
      <c r="B139">
        <v>2021</v>
      </c>
      <c r="C139" t="s">
        <v>11</v>
      </c>
      <c r="D139" t="s">
        <v>12</v>
      </c>
      <c r="E139" t="s">
        <v>69</v>
      </c>
      <c r="F139">
        <v>8500000</v>
      </c>
      <c r="G139" t="s">
        <v>44</v>
      </c>
      <c r="H139">
        <v>77364</v>
      </c>
      <c r="I139" t="s">
        <v>20</v>
      </c>
      <c r="J139">
        <v>50</v>
      </c>
      <c r="K139" t="s">
        <v>20</v>
      </c>
      <c r="L139" t="s">
        <v>21</v>
      </c>
    </row>
    <row r="140" spans="1:12" ht="14.25" x14ac:dyDescent="0.2">
      <c r="A140">
        <v>138</v>
      </c>
      <c r="B140">
        <v>2021</v>
      </c>
      <c r="C140" t="s">
        <v>17</v>
      </c>
      <c r="D140" t="s">
        <v>12</v>
      </c>
      <c r="E140" t="s">
        <v>76</v>
      </c>
      <c r="F140">
        <v>220000</v>
      </c>
      <c r="G140" t="s">
        <v>19</v>
      </c>
      <c r="H140">
        <v>220000</v>
      </c>
      <c r="I140" t="s">
        <v>29</v>
      </c>
      <c r="J140">
        <v>0</v>
      </c>
      <c r="K140" t="s">
        <v>29</v>
      </c>
      <c r="L140" t="s">
        <v>16</v>
      </c>
    </row>
    <row r="141" spans="1:12" ht="14.25" x14ac:dyDescent="0.2">
      <c r="A141">
        <v>139</v>
      </c>
      <c r="B141">
        <v>2021</v>
      </c>
      <c r="C141" t="s">
        <v>30</v>
      </c>
      <c r="D141" t="s">
        <v>12</v>
      </c>
      <c r="E141" t="s">
        <v>13</v>
      </c>
      <c r="F141">
        <v>80000</v>
      </c>
      <c r="G141" t="s">
        <v>19</v>
      </c>
      <c r="H141">
        <v>80000</v>
      </c>
      <c r="I141" t="s">
        <v>29</v>
      </c>
      <c r="J141">
        <v>100</v>
      </c>
      <c r="K141" t="s">
        <v>29</v>
      </c>
      <c r="L141" t="s">
        <v>25</v>
      </c>
    </row>
    <row r="142" spans="1:12" ht="14.25" x14ac:dyDescent="0.2">
      <c r="A142">
        <v>140</v>
      </c>
      <c r="B142">
        <v>2021</v>
      </c>
      <c r="C142" t="s">
        <v>11</v>
      </c>
      <c r="D142" t="s">
        <v>12</v>
      </c>
      <c r="E142" t="s">
        <v>31</v>
      </c>
      <c r="F142">
        <v>135000</v>
      </c>
      <c r="G142" t="s">
        <v>19</v>
      </c>
      <c r="H142">
        <v>135000</v>
      </c>
      <c r="I142" t="s">
        <v>29</v>
      </c>
      <c r="J142">
        <v>100</v>
      </c>
      <c r="K142" t="s">
        <v>29</v>
      </c>
      <c r="L142" t="s">
        <v>16</v>
      </c>
    </row>
    <row r="143" spans="1:12" ht="14.25" x14ac:dyDescent="0.2">
      <c r="A143">
        <v>141</v>
      </c>
      <c r="B143">
        <v>2021</v>
      </c>
      <c r="C143" t="s">
        <v>17</v>
      </c>
      <c r="D143" t="s">
        <v>12</v>
      </c>
      <c r="E143" t="s">
        <v>79</v>
      </c>
      <c r="F143">
        <v>240000</v>
      </c>
      <c r="G143" t="s">
        <v>19</v>
      </c>
      <c r="H143">
        <v>240000</v>
      </c>
      <c r="I143" t="s">
        <v>29</v>
      </c>
      <c r="J143">
        <v>0</v>
      </c>
      <c r="K143" t="s">
        <v>29</v>
      </c>
      <c r="L143" t="s">
        <v>16</v>
      </c>
    </row>
    <row r="144" spans="1:12" ht="14.25" x14ac:dyDescent="0.2">
      <c r="A144">
        <v>142</v>
      </c>
      <c r="B144">
        <v>2021</v>
      </c>
      <c r="C144" t="s">
        <v>17</v>
      </c>
      <c r="D144" t="s">
        <v>12</v>
      </c>
      <c r="E144" t="s">
        <v>63</v>
      </c>
      <c r="F144">
        <v>150000</v>
      </c>
      <c r="G144" t="s">
        <v>19</v>
      </c>
      <c r="H144">
        <v>150000</v>
      </c>
      <c r="I144" t="s">
        <v>29</v>
      </c>
      <c r="J144">
        <v>0</v>
      </c>
      <c r="K144" t="s">
        <v>29</v>
      </c>
      <c r="L144" t="s">
        <v>16</v>
      </c>
    </row>
    <row r="145" spans="1:12" ht="14.25" x14ac:dyDescent="0.2">
      <c r="A145">
        <v>143</v>
      </c>
      <c r="B145">
        <v>2021</v>
      </c>
      <c r="C145" t="s">
        <v>11</v>
      </c>
      <c r="D145" t="s">
        <v>12</v>
      </c>
      <c r="E145" t="s">
        <v>13</v>
      </c>
      <c r="F145">
        <v>82500</v>
      </c>
      <c r="G145" t="s">
        <v>19</v>
      </c>
      <c r="H145">
        <v>82500</v>
      </c>
      <c r="I145" t="s">
        <v>29</v>
      </c>
      <c r="J145">
        <v>100</v>
      </c>
      <c r="K145" t="s">
        <v>29</v>
      </c>
      <c r="L145" t="s">
        <v>21</v>
      </c>
    </row>
    <row r="146" spans="1:12" ht="14.25" x14ac:dyDescent="0.2">
      <c r="A146">
        <v>144</v>
      </c>
      <c r="B146">
        <v>2021</v>
      </c>
      <c r="C146" t="s">
        <v>11</v>
      </c>
      <c r="D146" t="s">
        <v>12</v>
      </c>
      <c r="E146" t="s">
        <v>43</v>
      </c>
      <c r="F146">
        <v>100000</v>
      </c>
      <c r="G146" t="s">
        <v>19</v>
      </c>
      <c r="H146">
        <v>100000</v>
      </c>
      <c r="I146" t="s">
        <v>29</v>
      </c>
      <c r="J146">
        <v>100</v>
      </c>
      <c r="K146" t="s">
        <v>29</v>
      </c>
      <c r="L146" t="s">
        <v>16</v>
      </c>
    </row>
    <row r="147" spans="1:12" ht="14.25" x14ac:dyDescent="0.2">
      <c r="A147">
        <v>145</v>
      </c>
      <c r="B147">
        <v>2021</v>
      </c>
      <c r="C147" t="s">
        <v>17</v>
      </c>
      <c r="D147" t="s">
        <v>12</v>
      </c>
      <c r="E147" t="s">
        <v>28</v>
      </c>
      <c r="F147">
        <v>70000</v>
      </c>
      <c r="G147" t="s">
        <v>14</v>
      </c>
      <c r="H147">
        <v>82744</v>
      </c>
      <c r="I147" t="s">
        <v>102</v>
      </c>
      <c r="J147">
        <v>50</v>
      </c>
      <c r="K147" t="s">
        <v>102</v>
      </c>
      <c r="L147" t="s">
        <v>25</v>
      </c>
    </row>
    <row r="148" spans="1:12" ht="14.25" x14ac:dyDescent="0.2">
      <c r="A148">
        <v>146</v>
      </c>
      <c r="B148">
        <v>2021</v>
      </c>
      <c r="C148" t="s">
        <v>11</v>
      </c>
      <c r="D148" t="s">
        <v>12</v>
      </c>
      <c r="E148" t="s">
        <v>55</v>
      </c>
      <c r="F148">
        <v>53000</v>
      </c>
      <c r="G148" t="s">
        <v>14</v>
      </c>
      <c r="H148">
        <v>62649</v>
      </c>
      <c r="I148" t="s">
        <v>38</v>
      </c>
      <c r="J148">
        <v>50</v>
      </c>
      <c r="K148" t="s">
        <v>38</v>
      </c>
      <c r="L148" t="s">
        <v>25</v>
      </c>
    </row>
    <row r="149" spans="1:12" ht="14.25" x14ac:dyDescent="0.2">
      <c r="A149">
        <v>147</v>
      </c>
      <c r="B149">
        <v>2021</v>
      </c>
      <c r="C149" t="s">
        <v>11</v>
      </c>
      <c r="D149" t="s">
        <v>12</v>
      </c>
      <c r="E149" t="s">
        <v>43</v>
      </c>
      <c r="F149">
        <v>90000</v>
      </c>
      <c r="G149" t="s">
        <v>19</v>
      </c>
      <c r="H149">
        <v>90000</v>
      </c>
      <c r="I149" t="s">
        <v>29</v>
      </c>
      <c r="J149">
        <v>100</v>
      </c>
      <c r="K149" t="s">
        <v>29</v>
      </c>
      <c r="L149" t="s">
        <v>16</v>
      </c>
    </row>
    <row r="150" spans="1:12" ht="14.25" x14ac:dyDescent="0.2">
      <c r="A150">
        <v>148</v>
      </c>
      <c r="B150">
        <v>2021</v>
      </c>
      <c r="C150" t="s">
        <v>17</v>
      </c>
      <c r="D150" t="s">
        <v>12</v>
      </c>
      <c r="E150" t="s">
        <v>63</v>
      </c>
      <c r="F150">
        <v>153000</v>
      </c>
      <c r="G150" t="s">
        <v>19</v>
      </c>
      <c r="H150">
        <v>153000</v>
      </c>
      <c r="I150" t="s">
        <v>29</v>
      </c>
      <c r="J150">
        <v>100</v>
      </c>
      <c r="K150" t="s">
        <v>29</v>
      </c>
      <c r="L150" t="s">
        <v>16</v>
      </c>
    </row>
    <row r="151" spans="1:12" ht="14.25" x14ac:dyDescent="0.2">
      <c r="A151">
        <v>149</v>
      </c>
      <c r="B151">
        <v>2021</v>
      </c>
      <c r="C151" t="s">
        <v>17</v>
      </c>
      <c r="D151" t="s">
        <v>12</v>
      </c>
      <c r="E151" t="s">
        <v>88</v>
      </c>
      <c r="F151">
        <v>160000</v>
      </c>
      <c r="G151" t="s">
        <v>19</v>
      </c>
      <c r="H151">
        <v>160000</v>
      </c>
      <c r="I151" t="s">
        <v>91</v>
      </c>
      <c r="J151">
        <v>100</v>
      </c>
      <c r="K151" t="s">
        <v>29</v>
      </c>
      <c r="L151" t="s">
        <v>21</v>
      </c>
    </row>
    <row r="152" spans="1:12" ht="14.25" x14ac:dyDescent="0.2">
      <c r="A152">
        <v>150</v>
      </c>
      <c r="B152">
        <v>2021</v>
      </c>
      <c r="C152" t="s">
        <v>17</v>
      </c>
      <c r="D152" t="s">
        <v>12</v>
      </c>
      <c r="E152" t="s">
        <v>54</v>
      </c>
      <c r="F152">
        <v>168000</v>
      </c>
      <c r="G152" t="s">
        <v>19</v>
      </c>
      <c r="H152">
        <v>168000</v>
      </c>
      <c r="I152" t="s">
        <v>20</v>
      </c>
      <c r="J152">
        <v>0</v>
      </c>
      <c r="K152" t="s">
        <v>20</v>
      </c>
      <c r="L152" t="s">
        <v>21</v>
      </c>
    </row>
    <row r="153" spans="1:12" ht="14.25" x14ac:dyDescent="0.2">
      <c r="A153">
        <v>151</v>
      </c>
      <c r="B153">
        <v>2021</v>
      </c>
      <c r="C153" t="s">
        <v>11</v>
      </c>
      <c r="D153" t="s">
        <v>12</v>
      </c>
      <c r="E153" t="s">
        <v>13</v>
      </c>
      <c r="F153">
        <v>150000</v>
      </c>
      <c r="G153" t="s">
        <v>19</v>
      </c>
      <c r="H153">
        <v>150000</v>
      </c>
      <c r="I153" t="s">
        <v>29</v>
      </c>
      <c r="J153">
        <v>100</v>
      </c>
      <c r="K153" t="s">
        <v>29</v>
      </c>
      <c r="L153" t="s">
        <v>25</v>
      </c>
    </row>
    <row r="154" spans="1:12" ht="14.25" x14ac:dyDescent="0.2">
      <c r="A154">
        <v>152</v>
      </c>
      <c r="B154">
        <v>2021</v>
      </c>
      <c r="C154" t="s">
        <v>11</v>
      </c>
      <c r="D154" t="s">
        <v>12</v>
      </c>
      <c r="E154" t="s">
        <v>13</v>
      </c>
      <c r="F154">
        <v>95000</v>
      </c>
      <c r="G154" t="s">
        <v>61</v>
      </c>
      <c r="H154">
        <v>75774</v>
      </c>
      <c r="I154" t="s">
        <v>62</v>
      </c>
      <c r="J154">
        <v>100</v>
      </c>
      <c r="K154" t="s">
        <v>62</v>
      </c>
      <c r="L154" t="s">
        <v>16</v>
      </c>
    </row>
    <row r="155" spans="1:12" ht="14.25" x14ac:dyDescent="0.2">
      <c r="A155">
        <v>153</v>
      </c>
      <c r="B155">
        <v>2021</v>
      </c>
      <c r="C155" t="s">
        <v>30</v>
      </c>
      <c r="D155" t="s">
        <v>12</v>
      </c>
      <c r="E155" t="s">
        <v>13</v>
      </c>
      <c r="F155">
        <v>13400</v>
      </c>
      <c r="G155" t="s">
        <v>19</v>
      </c>
      <c r="H155">
        <v>13400</v>
      </c>
      <c r="I155" t="s">
        <v>103</v>
      </c>
      <c r="J155">
        <v>100</v>
      </c>
      <c r="K155" t="s">
        <v>103</v>
      </c>
      <c r="L155" t="s">
        <v>16</v>
      </c>
    </row>
    <row r="156" spans="1:12" ht="14.25" x14ac:dyDescent="0.2">
      <c r="A156">
        <v>154</v>
      </c>
      <c r="B156">
        <v>2021</v>
      </c>
      <c r="C156" t="s">
        <v>17</v>
      </c>
      <c r="D156" t="s">
        <v>12</v>
      </c>
      <c r="E156" t="s">
        <v>79</v>
      </c>
      <c r="F156">
        <v>144000</v>
      </c>
      <c r="G156" t="s">
        <v>19</v>
      </c>
      <c r="H156">
        <v>144000</v>
      </c>
      <c r="I156" t="s">
        <v>29</v>
      </c>
      <c r="J156">
        <v>100</v>
      </c>
      <c r="K156" t="s">
        <v>29</v>
      </c>
      <c r="L156" t="s">
        <v>16</v>
      </c>
    </row>
    <row r="157" spans="1:12" ht="14.25" x14ac:dyDescent="0.2">
      <c r="A157">
        <v>155</v>
      </c>
      <c r="B157">
        <v>2021</v>
      </c>
      <c r="C157" t="s">
        <v>17</v>
      </c>
      <c r="D157" t="s">
        <v>12</v>
      </c>
      <c r="E157" t="s">
        <v>95</v>
      </c>
      <c r="F157">
        <v>159500</v>
      </c>
      <c r="G157" t="s">
        <v>61</v>
      </c>
      <c r="H157">
        <v>127221</v>
      </c>
      <c r="I157" t="s">
        <v>62</v>
      </c>
      <c r="J157">
        <v>50</v>
      </c>
      <c r="K157" t="s">
        <v>62</v>
      </c>
      <c r="L157" t="s">
        <v>16</v>
      </c>
    </row>
    <row r="158" spans="1:12" ht="14.25" x14ac:dyDescent="0.2">
      <c r="A158">
        <v>156</v>
      </c>
      <c r="B158">
        <v>2021</v>
      </c>
      <c r="C158" t="s">
        <v>11</v>
      </c>
      <c r="D158" t="s">
        <v>12</v>
      </c>
      <c r="E158" t="s">
        <v>13</v>
      </c>
      <c r="F158">
        <v>160000</v>
      </c>
      <c r="G158" t="s">
        <v>89</v>
      </c>
      <c r="H158">
        <v>119059</v>
      </c>
      <c r="I158" t="s">
        <v>90</v>
      </c>
      <c r="J158">
        <v>100</v>
      </c>
      <c r="K158" t="s">
        <v>104</v>
      </c>
      <c r="L158" t="s">
        <v>25</v>
      </c>
    </row>
    <row r="159" spans="1:12" ht="14.25" x14ac:dyDescent="0.2">
      <c r="A159">
        <v>157</v>
      </c>
      <c r="B159">
        <v>2021</v>
      </c>
      <c r="C159" t="s">
        <v>11</v>
      </c>
      <c r="D159" t="s">
        <v>12</v>
      </c>
      <c r="E159" t="s">
        <v>100</v>
      </c>
      <c r="F159">
        <v>423000</v>
      </c>
      <c r="G159" t="s">
        <v>19</v>
      </c>
      <c r="H159">
        <v>423000</v>
      </c>
      <c r="I159" t="s">
        <v>29</v>
      </c>
      <c r="J159">
        <v>50</v>
      </c>
      <c r="K159" t="s">
        <v>29</v>
      </c>
      <c r="L159" t="s">
        <v>16</v>
      </c>
    </row>
    <row r="160" spans="1:12" ht="14.25" x14ac:dyDescent="0.2">
      <c r="A160">
        <v>158</v>
      </c>
      <c r="B160">
        <v>2021</v>
      </c>
      <c r="C160" t="s">
        <v>17</v>
      </c>
      <c r="D160" t="s">
        <v>12</v>
      </c>
      <c r="E160" t="s">
        <v>105</v>
      </c>
      <c r="F160">
        <v>120000</v>
      </c>
      <c r="G160" t="s">
        <v>19</v>
      </c>
      <c r="H160">
        <v>120000</v>
      </c>
      <c r="I160" t="s">
        <v>29</v>
      </c>
      <c r="J160">
        <v>100</v>
      </c>
      <c r="K160" t="s">
        <v>29</v>
      </c>
      <c r="L160" t="s">
        <v>25</v>
      </c>
    </row>
    <row r="161" spans="1:12" ht="14.25" x14ac:dyDescent="0.2">
      <c r="A161">
        <v>159</v>
      </c>
      <c r="B161">
        <v>2021</v>
      </c>
      <c r="C161" t="s">
        <v>30</v>
      </c>
      <c r="D161" t="s">
        <v>12</v>
      </c>
      <c r="E161" t="s">
        <v>28</v>
      </c>
      <c r="F161">
        <v>125000</v>
      </c>
      <c r="G161" t="s">
        <v>19</v>
      </c>
      <c r="H161">
        <v>125000</v>
      </c>
      <c r="I161" t="s">
        <v>29</v>
      </c>
      <c r="J161">
        <v>100</v>
      </c>
      <c r="K161" t="s">
        <v>29</v>
      </c>
      <c r="L161" t="s">
        <v>21</v>
      </c>
    </row>
    <row r="162" spans="1:12" ht="14.25" x14ac:dyDescent="0.2">
      <c r="A162">
        <v>160</v>
      </c>
      <c r="B162">
        <v>2021</v>
      </c>
      <c r="C162" t="s">
        <v>53</v>
      </c>
      <c r="D162" t="s">
        <v>12</v>
      </c>
      <c r="E162" t="s">
        <v>81</v>
      </c>
      <c r="F162">
        <v>230000</v>
      </c>
      <c r="G162" t="s">
        <v>19</v>
      </c>
      <c r="H162">
        <v>230000</v>
      </c>
      <c r="I162" t="s">
        <v>75</v>
      </c>
      <c r="J162">
        <v>50</v>
      </c>
      <c r="K162" t="s">
        <v>75</v>
      </c>
      <c r="L162" t="s">
        <v>16</v>
      </c>
    </row>
    <row r="163" spans="1:12" ht="14.25" x14ac:dyDescent="0.2">
      <c r="A163">
        <v>161</v>
      </c>
      <c r="B163">
        <v>2021</v>
      </c>
      <c r="C163" t="s">
        <v>53</v>
      </c>
      <c r="D163" t="s">
        <v>12</v>
      </c>
      <c r="E163" t="s">
        <v>106</v>
      </c>
      <c r="F163">
        <v>85000</v>
      </c>
      <c r="G163" t="s">
        <v>19</v>
      </c>
      <c r="H163">
        <v>85000</v>
      </c>
      <c r="I163" t="s">
        <v>75</v>
      </c>
      <c r="J163">
        <v>0</v>
      </c>
      <c r="K163" t="s">
        <v>75</v>
      </c>
      <c r="L163" t="s">
        <v>25</v>
      </c>
    </row>
    <row r="164" spans="1:12" ht="14.25" x14ac:dyDescent="0.2">
      <c r="A164">
        <v>162</v>
      </c>
      <c r="B164">
        <v>2021</v>
      </c>
      <c r="C164" t="s">
        <v>11</v>
      </c>
      <c r="D164" t="s">
        <v>12</v>
      </c>
      <c r="E164" t="s">
        <v>43</v>
      </c>
      <c r="F164">
        <v>24000</v>
      </c>
      <c r="G164" t="s">
        <v>14</v>
      </c>
      <c r="H164">
        <v>28369</v>
      </c>
      <c r="I164" t="s">
        <v>107</v>
      </c>
      <c r="J164">
        <v>50</v>
      </c>
      <c r="K164" t="s">
        <v>107</v>
      </c>
      <c r="L164" t="s">
        <v>16</v>
      </c>
    </row>
    <row r="165" spans="1:12" ht="14.25" x14ac:dyDescent="0.2">
      <c r="A165">
        <v>163</v>
      </c>
      <c r="B165">
        <v>2021</v>
      </c>
      <c r="C165" t="s">
        <v>30</v>
      </c>
      <c r="D165" t="s">
        <v>12</v>
      </c>
      <c r="E165" t="s">
        <v>46</v>
      </c>
      <c r="F165">
        <v>54000</v>
      </c>
      <c r="G165" t="s">
        <v>14</v>
      </c>
      <c r="H165">
        <v>63831</v>
      </c>
      <c r="I165" t="s">
        <v>15</v>
      </c>
      <c r="J165">
        <v>50</v>
      </c>
      <c r="K165" t="s">
        <v>15</v>
      </c>
      <c r="L165" t="s">
        <v>16</v>
      </c>
    </row>
    <row r="166" spans="1:12" ht="14.25" x14ac:dyDescent="0.2">
      <c r="A166">
        <v>164</v>
      </c>
      <c r="B166">
        <v>2021</v>
      </c>
      <c r="C166" t="s">
        <v>53</v>
      </c>
      <c r="D166" t="s">
        <v>12</v>
      </c>
      <c r="E166" t="s">
        <v>54</v>
      </c>
      <c r="F166">
        <v>110000</v>
      </c>
      <c r="G166" t="s">
        <v>14</v>
      </c>
      <c r="H166">
        <v>130026</v>
      </c>
      <c r="I166" t="s">
        <v>15</v>
      </c>
      <c r="J166">
        <v>50</v>
      </c>
      <c r="K166" t="s">
        <v>15</v>
      </c>
      <c r="L166" t="s">
        <v>25</v>
      </c>
    </row>
    <row r="167" spans="1:12" ht="14.25" x14ac:dyDescent="0.2">
      <c r="A167">
        <v>165</v>
      </c>
      <c r="B167">
        <v>2021</v>
      </c>
      <c r="C167" t="s">
        <v>17</v>
      </c>
      <c r="D167" t="s">
        <v>12</v>
      </c>
      <c r="E167" t="s">
        <v>108</v>
      </c>
      <c r="F167">
        <v>165000</v>
      </c>
      <c r="G167" t="s">
        <v>19</v>
      </c>
      <c r="H167">
        <v>165000</v>
      </c>
      <c r="I167" t="s">
        <v>29</v>
      </c>
      <c r="J167">
        <v>100</v>
      </c>
      <c r="K167" t="s">
        <v>29</v>
      </c>
      <c r="L167" t="s">
        <v>16</v>
      </c>
    </row>
    <row r="168" spans="1:12" ht="14.25" x14ac:dyDescent="0.2">
      <c r="A168">
        <v>166</v>
      </c>
      <c r="B168">
        <v>2021</v>
      </c>
      <c r="C168" t="s">
        <v>30</v>
      </c>
      <c r="D168" t="s">
        <v>12</v>
      </c>
      <c r="E168" t="s">
        <v>43</v>
      </c>
      <c r="F168">
        <v>80000</v>
      </c>
      <c r="G168" t="s">
        <v>19</v>
      </c>
      <c r="H168">
        <v>80000</v>
      </c>
      <c r="I168" t="s">
        <v>29</v>
      </c>
      <c r="J168">
        <v>100</v>
      </c>
      <c r="K168" t="s">
        <v>29</v>
      </c>
      <c r="L168" t="s">
        <v>16</v>
      </c>
    </row>
    <row r="169" spans="1:12" ht="14.25" x14ac:dyDescent="0.2">
      <c r="A169">
        <v>167</v>
      </c>
      <c r="B169">
        <v>2021</v>
      </c>
      <c r="C169" t="s">
        <v>53</v>
      </c>
      <c r="D169" t="s">
        <v>12</v>
      </c>
      <c r="E169" t="s">
        <v>54</v>
      </c>
      <c r="F169">
        <v>250000</v>
      </c>
      <c r="G169" t="s">
        <v>19</v>
      </c>
      <c r="H169">
        <v>250000</v>
      </c>
      <c r="I169" t="s">
        <v>29</v>
      </c>
      <c r="J169">
        <v>0</v>
      </c>
      <c r="K169" t="s">
        <v>29</v>
      </c>
      <c r="L169" t="s">
        <v>16</v>
      </c>
    </row>
    <row r="170" spans="1:12" ht="14.25" x14ac:dyDescent="0.2">
      <c r="A170">
        <v>168</v>
      </c>
      <c r="B170">
        <v>2021</v>
      </c>
      <c r="C170" t="s">
        <v>30</v>
      </c>
      <c r="D170" t="s">
        <v>12</v>
      </c>
      <c r="E170" t="s">
        <v>51</v>
      </c>
      <c r="F170">
        <v>55000</v>
      </c>
      <c r="G170" t="s">
        <v>19</v>
      </c>
      <c r="H170">
        <v>55000</v>
      </c>
      <c r="I170" t="s">
        <v>29</v>
      </c>
      <c r="J170">
        <v>50</v>
      </c>
      <c r="K170" t="s">
        <v>29</v>
      </c>
      <c r="L170" t="s">
        <v>21</v>
      </c>
    </row>
    <row r="171" spans="1:12" ht="14.25" x14ac:dyDescent="0.2">
      <c r="A171">
        <v>169</v>
      </c>
      <c r="B171">
        <v>2021</v>
      </c>
      <c r="C171" t="s">
        <v>11</v>
      </c>
      <c r="D171" t="s">
        <v>12</v>
      </c>
      <c r="E171" t="s">
        <v>109</v>
      </c>
      <c r="F171">
        <v>150000</v>
      </c>
      <c r="G171" t="s">
        <v>19</v>
      </c>
      <c r="H171">
        <v>150000</v>
      </c>
      <c r="I171" t="s">
        <v>29</v>
      </c>
      <c r="J171">
        <v>100</v>
      </c>
      <c r="K171" t="s">
        <v>29</v>
      </c>
      <c r="L171" t="s">
        <v>16</v>
      </c>
    </row>
    <row r="172" spans="1:12" ht="14.25" x14ac:dyDescent="0.2">
      <c r="A172">
        <v>170</v>
      </c>
      <c r="B172">
        <v>2021</v>
      </c>
      <c r="C172" t="s">
        <v>11</v>
      </c>
      <c r="D172" t="s">
        <v>12</v>
      </c>
      <c r="E172" t="s">
        <v>109</v>
      </c>
      <c r="F172">
        <v>170000</v>
      </c>
      <c r="G172" t="s">
        <v>19</v>
      </c>
      <c r="H172">
        <v>170000</v>
      </c>
      <c r="I172" t="s">
        <v>29</v>
      </c>
      <c r="J172">
        <v>100</v>
      </c>
      <c r="K172" t="s">
        <v>29</v>
      </c>
      <c r="L172" t="s">
        <v>16</v>
      </c>
    </row>
    <row r="173" spans="1:12" ht="14.25" x14ac:dyDescent="0.2">
      <c r="A173">
        <v>171</v>
      </c>
      <c r="B173">
        <v>2021</v>
      </c>
      <c r="C173" t="s">
        <v>11</v>
      </c>
      <c r="D173" t="s">
        <v>12</v>
      </c>
      <c r="E173" t="s">
        <v>43</v>
      </c>
      <c r="F173">
        <v>60000</v>
      </c>
      <c r="G173" t="s">
        <v>23</v>
      </c>
      <c r="H173">
        <v>82528</v>
      </c>
      <c r="I173" t="s">
        <v>24</v>
      </c>
      <c r="J173">
        <v>100</v>
      </c>
      <c r="K173" t="s">
        <v>24</v>
      </c>
      <c r="L173" t="s">
        <v>16</v>
      </c>
    </row>
    <row r="174" spans="1:12" ht="14.25" x14ac:dyDescent="0.2">
      <c r="A174">
        <v>172</v>
      </c>
      <c r="B174">
        <v>2021</v>
      </c>
      <c r="C174" t="s">
        <v>30</v>
      </c>
      <c r="D174" t="s">
        <v>12</v>
      </c>
      <c r="E174" t="s">
        <v>31</v>
      </c>
      <c r="F174">
        <v>60000</v>
      </c>
      <c r="G174" t="s">
        <v>19</v>
      </c>
      <c r="H174">
        <v>60000</v>
      </c>
      <c r="I174" t="s">
        <v>29</v>
      </c>
      <c r="J174">
        <v>100</v>
      </c>
      <c r="K174" t="s">
        <v>29</v>
      </c>
      <c r="L174" t="s">
        <v>21</v>
      </c>
    </row>
    <row r="175" spans="1:12" ht="14.25" x14ac:dyDescent="0.2">
      <c r="A175">
        <v>173</v>
      </c>
      <c r="B175">
        <v>2021</v>
      </c>
      <c r="C175" t="s">
        <v>17</v>
      </c>
      <c r="D175" t="s">
        <v>12</v>
      </c>
      <c r="E175" t="s">
        <v>76</v>
      </c>
      <c r="F175">
        <v>235000</v>
      </c>
      <c r="G175" t="s">
        <v>19</v>
      </c>
      <c r="H175">
        <v>235000</v>
      </c>
      <c r="I175" t="s">
        <v>29</v>
      </c>
      <c r="J175">
        <v>100</v>
      </c>
      <c r="K175" t="s">
        <v>29</v>
      </c>
      <c r="L175" t="s">
        <v>16</v>
      </c>
    </row>
    <row r="176" spans="1:12" ht="14.25" x14ac:dyDescent="0.2">
      <c r="A176">
        <v>174</v>
      </c>
      <c r="B176">
        <v>2021</v>
      </c>
      <c r="C176" t="s">
        <v>17</v>
      </c>
      <c r="D176" t="s">
        <v>12</v>
      </c>
      <c r="E176" t="s">
        <v>55</v>
      </c>
      <c r="F176">
        <v>51400</v>
      </c>
      <c r="G176" t="s">
        <v>14</v>
      </c>
      <c r="H176">
        <v>60757</v>
      </c>
      <c r="I176" t="s">
        <v>47</v>
      </c>
      <c r="J176">
        <v>50</v>
      </c>
      <c r="K176" t="s">
        <v>47</v>
      </c>
      <c r="L176" t="s">
        <v>16</v>
      </c>
    </row>
    <row r="177" spans="1:12" ht="14.25" x14ac:dyDescent="0.2">
      <c r="A177">
        <v>175</v>
      </c>
      <c r="B177">
        <v>2021</v>
      </c>
      <c r="C177" t="s">
        <v>17</v>
      </c>
      <c r="D177" t="s">
        <v>12</v>
      </c>
      <c r="E177" t="s">
        <v>63</v>
      </c>
      <c r="F177">
        <v>174000</v>
      </c>
      <c r="G177" t="s">
        <v>19</v>
      </c>
      <c r="H177">
        <v>174000</v>
      </c>
      <c r="I177" t="s">
        <v>29</v>
      </c>
      <c r="J177">
        <v>100</v>
      </c>
      <c r="K177" t="s">
        <v>29</v>
      </c>
      <c r="L177" t="s">
        <v>16</v>
      </c>
    </row>
    <row r="178" spans="1:12" ht="14.25" x14ac:dyDescent="0.2">
      <c r="A178">
        <v>176</v>
      </c>
      <c r="B178">
        <v>2021</v>
      </c>
      <c r="C178" t="s">
        <v>11</v>
      </c>
      <c r="D178" t="s">
        <v>12</v>
      </c>
      <c r="E178" t="s">
        <v>13</v>
      </c>
      <c r="F178">
        <v>58000</v>
      </c>
      <c r="G178" t="s">
        <v>57</v>
      </c>
      <c r="H178">
        <v>2859</v>
      </c>
      <c r="I178" t="s">
        <v>58</v>
      </c>
      <c r="J178">
        <v>0</v>
      </c>
      <c r="K178" t="s">
        <v>58</v>
      </c>
      <c r="L178" t="s">
        <v>21</v>
      </c>
    </row>
    <row r="179" spans="1:12" ht="14.25" x14ac:dyDescent="0.2">
      <c r="A179">
        <v>177</v>
      </c>
      <c r="B179">
        <v>2021</v>
      </c>
      <c r="C179" t="s">
        <v>11</v>
      </c>
      <c r="D179" t="s">
        <v>12</v>
      </c>
      <c r="E179" t="s">
        <v>13</v>
      </c>
      <c r="F179">
        <v>30400000</v>
      </c>
      <c r="G179" t="s">
        <v>110</v>
      </c>
      <c r="H179">
        <v>40038</v>
      </c>
      <c r="I179" t="s">
        <v>111</v>
      </c>
      <c r="J179">
        <v>100</v>
      </c>
      <c r="K179" t="s">
        <v>111</v>
      </c>
      <c r="L179" t="s">
        <v>16</v>
      </c>
    </row>
    <row r="180" spans="1:12" ht="14.25" x14ac:dyDescent="0.2">
      <c r="A180">
        <v>178</v>
      </c>
      <c r="B180">
        <v>2021</v>
      </c>
      <c r="C180" t="s">
        <v>30</v>
      </c>
      <c r="D180" t="s">
        <v>12</v>
      </c>
      <c r="E180" t="s">
        <v>28</v>
      </c>
      <c r="F180">
        <v>81000</v>
      </c>
      <c r="G180" t="s">
        <v>19</v>
      </c>
      <c r="H180">
        <v>81000</v>
      </c>
      <c r="I180" t="s">
        <v>29</v>
      </c>
      <c r="J180">
        <v>50</v>
      </c>
      <c r="K180" t="s">
        <v>29</v>
      </c>
      <c r="L180" t="s">
        <v>21</v>
      </c>
    </row>
    <row r="181" spans="1:12" ht="14.25" x14ac:dyDescent="0.2">
      <c r="A181">
        <v>179</v>
      </c>
      <c r="B181">
        <v>2021</v>
      </c>
      <c r="C181" t="s">
        <v>11</v>
      </c>
      <c r="D181" t="s">
        <v>12</v>
      </c>
      <c r="E181" t="s">
        <v>13</v>
      </c>
      <c r="F181">
        <v>420000</v>
      </c>
      <c r="G181" t="s">
        <v>39</v>
      </c>
      <c r="H181">
        <v>5679</v>
      </c>
      <c r="I181" t="s">
        <v>40</v>
      </c>
      <c r="J181">
        <v>100</v>
      </c>
      <c r="K181" t="s">
        <v>29</v>
      </c>
      <c r="L181" t="s">
        <v>21</v>
      </c>
    </row>
    <row r="182" spans="1:12" ht="14.25" x14ac:dyDescent="0.2">
      <c r="A182">
        <v>180</v>
      </c>
      <c r="B182">
        <v>2021</v>
      </c>
      <c r="C182" t="s">
        <v>11</v>
      </c>
      <c r="D182" t="s">
        <v>12</v>
      </c>
      <c r="E182" t="s">
        <v>22</v>
      </c>
      <c r="F182">
        <v>1672000</v>
      </c>
      <c r="G182" t="s">
        <v>39</v>
      </c>
      <c r="H182">
        <v>22611</v>
      </c>
      <c r="I182" t="s">
        <v>40</v>
      </c>
      <c r="J182">
        <v>0</v>
      </c>
      <c r="K182" t="s">
        <v>40</v>
      </c>
      <c r="L182" t="s">
        <v>16</v>
      </c>
    </row>
    <row r="183" spans="1:12" ht="14.25" x14ac:dyDescent="0.2">
      <c r="A183">
        <v>181</v>
      </c>
      <c r="B183">
        <v>2021</v>
      </c>
      <c r="C183" t="s">
        <v>11</v>
      </c>
      <c r="D183" t="s">
        <v>12</v>
      </c>
      <c r="E183" t="s">
        <v>13</v>
      </c>
      <c r="F183">
        <v>76760</v>
      </c>
      <c r="G183" t="s">
        <v>14</v>
      </c>
      <c r="H183">
        <v>90734</v>
      </c>
      <c r="I183" t="s">
        <v>15</v>
      </c>
      <c r="J183">
        <v>50</v>
      </c>
      <c r="K183" t="s">
        <v>15</v>
      </c>
      <c r="L183" t="s">
        <v>16</v>
      </c>
    </row>
    <row r="184" spans="1:12" ht="14.25" x14ac:dyDescent="0.2">
      <c r="A184">
        <v>182</v>
      </c>
      <c r="B184">
        <v>2021</v>
      </c>
      <c r="C184" t="s">
        <v>11</v>
      </c>
      <c r="D184" t="s">
        <v>12</v>
      </c>
      <c r="E184" t="s">
        <v>43</v>
      </c>
      <c r="F184">
        <v>22000</v>
      </c>
      <c r="G184" t="s">
        <v>14</v>
      </c>
      <c r="H184">
        <v>26005</v>
      </c>
      <c r="I184" t="s">
        <v>96</v>
      </c>
      <c r="J184">
        <v>0</v>
      </c>
      <c r="K184" t="s">
        <v>29</v>
      </c>
      <c r="L184" t="s">
        <v>16</v>
      </c>
    </row>
    <row r="185" spans="1:12" ht="14.25" x14ac:dyDescent="0.2">
      <c r="A185">
        <v>183</v>
      </c>
      <c r="B185">
        <v>2021</v>
      </c>
      <c r="C185" t="s">
        <v>17</v>
      </c>
      <c r="D185" t="s">
        <v>12</v>
      </c>
      <c r="E185" t="s">
        <v>112</v>
      </c>
      <c r="F185">
        <v>45000</v>
      </c>
      <c r="G185" t="s">
        <v>23</v>
      </c>
      <c r="H185">
        <v>61896</v>
      </c>
      <c r="I185" t="s">
        <v>24</v>
      </c>
      <c r="J185">
        <v>50</v>
      </c>
      <c r="K185" t="s">
        <v>24</v>
      </c>
      <c r="L185" t="s">
        <v>16</v>
      </c>
    </row>
    <row r="186" spans="1:12" ht="14.25" x14ac:dyDescent="0.2">
      <c r="A186">
        <v>184</v>
      </c>
      <c r="B186">
        <v>2021</v>
      </c>
      <c r="C186" t="s">
        <v>11</v>
      </c>
      <c r="D186" t="s">
        <v>73</v>
      </c>
      <c r="E186" t="s">
        <v>18</v>
      </c>
      <c r="F186">
        <v>12000</v>
      </c>
      <c r="G186" t="s">
        <v>19</v>
      </c>
      <c r="H186">
        <v>12000</v>
      </c>
      <c r="I186" t="s">
        <v>42</v>
      </c>
      <c r="J186">
        <v>50</v>
      </c>
      <c r="K186" t="s">
        <v>42</v>
      </c>
      <c r="L186" t="s">
        <v>25</v>
      </c>
    </row>
    <row r="187" spans="1:12" ht="14.25" x14ac:dyDescent="0.2">
      <c r="A187">
        <v>185</v>
      </c>
      <c r="B187">
        <v>2021</v>
      </c>
      <c r="C187" t="s">
        <v>11</v>
      </c>
      <c r="D187" t="s">
        <v>12</v>
      </c>
      <c r="E187" t="s">
        <v>43</v>
      </c>
      <c r="F187">
        <v>4000</v>
      </c>
      <c r="G187" t="s">
        <v>19</v>
      </c>
      <c r="H187">
        <v>4000</v>
      </c>
      <c r="I187" t="s">
        <v>113</v>
      </c>
      <c r="J187">
        <v>100</v>
      </c>
      <c r="K187" t="s">
        <v>113</v>
      </c>
      <c r="L187" t="s">
        <v>25</v>
      </c>
    </row>
    <row r="188" spans="1:12" ht="14.25" x14ac:dyDescent="0.2">
      <c r="A188">
        <v>186</v>
      </c>
      <c r="B188">
        <v>2021</v>
      </c>
      <c r="C188" t="s">
        <v>17</v>
      </c>
      <c r="D188" t="s">
        <v>12</v>
      </c>
      <c r="E188" t="s">
        <v>83</v>
      </c>
      <c r="F188">
        <v>50000</v>
      </c>
      <c r="G188" t="s">
        <v>19</v>
      </c>
      <c r="H188">
        <v>50000</v>
      </c>
      <c r="I188" t="s">
        <v>101</v>
      </c>
      <c r="J188">
        <v>100</v>
      </c>
      <c r="K188" t="s">
        <v>24</v>
      </c>
      <c r="L188" t="s">
        <v>25</v>
      </c>
    </row>
    <row r="189" spans="1:12" ht="14.25" x14ac:dyDescent="0.2">
      <c r="A189">
        <v>187</v>
      </c>
      <c r="B189">
        <v>2021</v>
      </c>
      <c r="C189" t="s">
        <v>53</v>
      </c>
      <c r="D189" t="s">
        <v>12</v>
      </c>
      <c r="E189" t="s">
        <v>46</v>
      </c>
      <c r="F189">
        <v>59000</v>
      </c>
      <c r="G189" t="s">
        <v>14</v>
      </c>
      <c r="H189">
        <v>69741</v>
      </c>
      <c r="I189" t="s">
        <v>38</v>
      </c>
      <c r="J189">
        <v>100</v>
      </c>
      <c r="K189" t="s">
        <v>67</v>
      </c>
      <c r="L189" t="s">
        <v>21</v>
      </c>
    </row>
    <row r="190" spans="1:12" ht="14.25" x14ac:dyDescent="0.2">
      <c r="A190">
        <v>188</v>
      </c>
      <c r="B190">
        <v>2021</v>
      </c>
      <c r="C190" t="s">
        <v>17</v>
      </c>
      <c r="D190" t="s">
        <v>12</v>
      </c>
      <c r="E190" t="s">
        <v>43</v>
      </c>
      <c r="F190">
        <v>65000</v>
      </c>
      <c r="G190" t="s">
        <v>14</v>
      </c>
      <c r="H190">
        <v>76833</v>
      </c>
      <c r="I190" t="s">
        <v>96</v>
      </c>
      <c r="J190">
        <v>50</v>
      </c>
      <c r="K190" t="s">
        <v>24</v>
      </c>
      <c r="L190" t="s">
        <v>21</v>
      </c>
    </row>
    <row r="191" spans="1:12" ht="14.25" x14ac:dyDescent="0.2">
      <c r="A191">
        <v>189</v>
      </c>
      <c r="B191">
        <v>2021</v>
      </c>
      <c r="C191" t="s">
        <v>11</v>
      </c>
      <c r="D191" t="s">
        <v>12</v>
      </c>
      <c r="E191" t="s">
        <v>28</v>
      </c>
      <c r="F191">
        <v>74000</v>
      </c>
      <c r="G191" t="s">
        <v>19</v>
      </c>
      <c r="H191">
        <v>74000</v>
      </c>
      <c r="I191" t="s">
        <v>20</v>
      </c>
      <c r="J191">
        <v>50</v>
      </c>
      <c r="K191" t="s">
        <v>20</v>
      </c>
      <c r="L191" t="s">
        <v>21</v>
      </c>
    </row>
    <row r="192" spans="1:12" ht="14.25" x14ac:dyDescent="0.2">
      <c r="A192">
        <v>190</v>
      </c>
      <c r="B192">
        <v>2021</v>
      </c>
      <c r="C192" t="s">
        <v>17</v>
      </c>
      <c r="D192" t="s">
        <v>12</v>
      </c>
      <c r="E192" t="s">
        <v>79</v>
      </c>
      <c r="F192">
        <v>152000</v>
      </c>
      <c r="G192" t="s">
        <v>19</v>
      </c>
      <c r="H192">
        <v>152000</v>
      </c>
      <c r="I192" t="s">
        <v>29</v>
      </c>
      <c r="J192">
        <v>100</v>
      </c>
      <c r="K192" t="s">
        <v>38</v>
      </c>
      <c r="L192" t="s">
        <v>16</v>
      </c>
    </row>
    <row r="193" spans="1:12" ht="14.25" x14ac:dyDescent="0.2">
      <c r="A193">
        <v>191</v>
      </c>
      <c r="B193">
        <v>2021</v>
      </c>
      <c r="C193" t="s">
        <v>30</v>
      </c>
      <c r="D193" t="s">
        <v>12</v>
      </c>
      <c r="E193" t="s">
        <v>28</v>
      </c>
      <c r="F193">
        <v>21844</v>
      </c>
      <c r="G193" t="s">
        <v>19</v>
      </c>
      <c r="H193">
        <v>21844</v>
      </c>
      <c r="I193" t="s">
        <v>114</v>
      </c>
      <c r="J193">
        <v>50</v>
      </c>
      <c r="K193" t="s">
        <v>114</v>
      </c>
      <c r="L193" t="s">
        <v>25</v>
      </c>
    </row>
    <row r="194" spans="1:12" ht="14.25" x14ac:dyDescent="0.2">
      <c r="A194">
        <v>192</v>
      </c>
      <c r="B194">
        <v>2021</v>
      </c>
      <c r="C194" t="s">
        <v>11</v>
      </c>
      <c r="D194" t="s">
        <v>12</v>
      </c>
      <c r="E194" t="s">
        <v>22</v>
      </c>
      <c r="F194">
        <v>18000</v>
      </c>
      <c r="G194" t="s">
        <v>19</v>
      </c>
      <c r="H194">
        <v>18000</v>
      </c>
      <c r="I194" t="s">
        <v>115</v>
      </c>
      <c r="J194">
        <v>0</v>
      </c>
      <c r="K194" t="s">
        <v>115</v>
      </c>
      <c r="L194" t="s">
        <v>21</v>
      </c>
    </row>
    <row r="195" spans="1:12" ht="14.25" x14ac:dyDescent="0.2">
      <c r="A195">
        <v>193</v>
      </c>
      <c r="B195">
        <v>2021</v>
      </c>
      <c r="C195" t="s">
        <v>17</v>
      </c>
      <c r="D195" t="s">
        <v>12</v>
      </c>
      <c r="E195" t="s">
        <v>79</v>
      </c>
      <c r="F195">
        <v>174000</v>
      </c>
      <c r="G195" t="s">
        <v>19</v>
      </c>
      <c r="H195">
        <v>174000</v>
      </c>
      <c r="I195" t="s">
        <v>29</v>
      </c>
      <c r="J195">
        <v>100</v>
      </c>
      <c r="K195" t="s">
        <v>29</v>
      </c>
      <c r="L195" t="s">
        <v>16</v>
      </c>
    </row>
    <row r="196" spans="1:12" ht="14.25" x14ac:dyDescent="0.2">
      <c r="A196">
        <v>194</v>
      </c>
      <c r="B196">
        <v>2021</v>
      </c>
      <c r="C196" t="s">
        <v>17</v>
      </c>
      <c r="D196" t="s">
        <v>12</v>
      </c>
      <c r="E196" t="s">
        <v>55</v>
      </c>
      <c r="F196">
        <v>120500</v>
      </c>
      <c r="G196" t="s">
        <v>61</v>
      </c>
      <c r="H196">
        <v>96113</v>
      </c>
      <c r="I196" t="s">
        <v>62</v>
      </c>
      <c r="J196">
        <v>50</v>
      </c>
      <c r="K196" t="s">
        <v>62</v>
      </c>
      <c r="L196" t="s">
        <v>16</v>
      </c>
    </row>
    <row r="197" spans="1:12" ht="14.25" x14ac:dyDescent="0.2">
      <c r="A197">
        <v>195</v>
      </c>
      <c r="B197">
        <v>2021</v>
      </c>
      <c r="C197" t="s">
        <v>11</v>
      </c>
      <c r="D197" t="s">
        <v>12</v>
      </c>
      <c r="E197" t="s">
        <v>13</v>
      </c>
      <c r="F197">
        <v>147000</v>
      </c>
      <c r="G197" t="s">
        <v>19</v>
      </c>
      <c r="H197">
        <v>147000</v>
      </c>
      <c r="I197" t="s">
        <v>29</v>
      </c>
      <c r="J197">
        <v>50</v>
      </c>
      <c r="K197" t="s">
        <v>29</v>
      </c>
      <c r="L197" t="s">
        <v>16</v>
      </c>
    </row>
    <row r="198" spans="1:12" ht="14.25" x14ac:dyDescent="0.2">
      <c r="A198">
        <v>196</v>
      </c>
      <c r="B198">
        <v>2021</v>
      </c>
      <c r="C198" t="s">
        <v>30</v>
      </c>
      <c r="D198" t="s">
        <v>12</v>
      </c>
      <c r="E198" t="s">
        <v>51</v>
      </c>
      <c r="F198">
        <v>9272</v>
      </c>
      <c r="G198" t="s">
        <v>19</v>
      </c>
      <c r="H198">
        <v>9272</v>
      </c>
      <c r="I198" t="s">
        <v>116</v>
      </c>
      <c r="J198">
        <v>100</v>
      </c>
      <c r="K198" t="s">
        <v>116</v>
      </c>
      <c r="L198" t="s">
        <v>21</v>
      </c>
    </row>
    <row r="199" spans="1:12" ht="14.25" x14ac:dyDescent="0.2">
      <c r="A199">
        <v>197</v>
      </c>
      <c r="B199">
        <v>2021</v>
      </c>
      <c r="C199" t="s">
        <v>17</v>
      </c>
      <c r="D199" t="s">
        <v>12</v>
      </c>
      <c r="E199" t="s">
        <v>28</v>
      </c>
      <c r="F199">
        <v>1799997</v>
      </c>
      <c r="G199" t="s">
        <v>39</v>
      </c>
      <c r="H199">
        <v>24342</v>
      </c>
      <c r="I199" t="s">
        <v>40</v>
      </c>
      <c r="J199">
        <v>100</v>
      </c>
      <c r="K199" t="s">
        <v>40</v>
      </c>
      <c r="L199" t="s">
        <v>16</v>
      </c>
    </row>
    <row r="200" spans="1:12" ht="14.25" x14ac:dyDescent="0.2">
      <c r="A200">
        <v>198</v>
      </c>
      <c r="B200">
        <v>2021</v>
      </c>
      <c r="C200" t="s">
        <v>17</v>
      </c>
      <c r="D200" t="s">
        <v>12</v>
      </c>
      <c r="E200" t="s">
        <v>79</v>
      </c>
      <c r="F200">
        <v>4000000</v>
      </c>
      <c r="G200" t="s">
        <v>39</v>
      </c>
      <c r="H200">
        <v>54094</v>
      </c>
      <c r="I200" t="s">
        <v>40</v>
      </c>
      <c r="J200">
        <v>50</v>
      </c>
      <c r="K200" t="s">
        <v>29</v>
      </c>
      <c r="L200" t="s">
        <v>16</v>
      </c>
    </row>
    <row r="201" spans="1:12" ht="14.25" x14ac:dyDescent="0.2">
      <c r="A201">
        <v>199</v>
      </c>
      <c r="B201">
        <v>2021</v>
      </c>
      <c r="C201" t="s">
        <v>30</v>
      </c>
      <c r="D201" t="s">
        <v>12</v>
      </c>
      <c r="E201" t="s">
        <v>46</v>
      </c>
      <c r="F201">
        <v>90000</v>
      </c>
      <c r="G201" t="s">
        <v>19</v>
      </c>
      <c r="H201">
        <v>90000</v>
      </c>
      <c r="I201" t="s">
        <v>29</v>
      </c>
      <c r="J201">
        <v>100</v>
      </c>
      <c r="K201" t="s">
        <v>29</v>
      </c>
      <c r="L201" t="s">
        <v>21</v>
      </c>
    </row>
    <row r="202" spans="1:12" ht="14.25" x14ac:dyDescent="0.2">
      <c r="A202">
        <v>200</v>
      </c>
      <c r="B202">
        <v>2021</v>
      </c>
      <c r="C202" t="s">
        <v>11</v>
      </c>
      <c r="D202" t="s">
        <v>12</v>
      </c>
      <c r="E202" t="s">
        <v>13</v>
      </c>
      <c r="F202">
        <v>52000</v>
      </c>
      <c r="G202" t="s">
        <v>14</v>
      </c>
      <c r="H202">
        <v>61467</v>
      </c>
      <c r="I202" t="s">
        <v>15</v>
      </c>
      <c r="J202">
        <v>50</v>
      </c>
      <c r="K202" t="s">
        <v>64</v>
      </c>
      <c r="L202" t="s">
        <v>25</v>
      </c>
    </row>
    <row r="203" spans="1:12" ht="14.25" x14ac:dyDescent="0.2">
      <c r="A203">
        <v>201</v>
      </c>
      <c r="B203">
        <v>2021</v>
      </c>
      <c r="C203" t="s">
        <v>17</v>
      </c>
      <c r="D203" t="s">
        <v>12</v>
      </c>
      <c r="E203" t="s">
        <v>68</v>
      </c>
      <c r="F203">
        <v>195000</v>
      </c>
      <c r="G203" t="s">
        <v>19</v>
      </c>
      <c r="H203">
        <v>195000</v>
      </c>
      <c r="I203" t="s">
        <v>29</v>
      </c>
      <c r="J203">
        <v>100</v>
      </c>
      <c r="K203" t="s">
        <v>29</v>
      </c>
      <c r="L203" t="s">
        <v>25</v>
      </c>
    </row>
    <row r="204" spans="1:12" ht="14.25" x14ac:dyDescent="0.2">
      <c r="A204">
        <v>202</v>
      </c>
      <c r="B204">
        <v>2021</v>
      </c>
      <c r="C204" t="s">
        <v>11</v>
      </c>
      <c r="D204" t="s">
        <v>12</v>
      </c>
      <c r="E204" t="s">
        <v>13</v>
      </c>
      <c r="F204">
        <v>32000</v>
      </c>
      <c r="G204" t="s">
        <v>14</v>
      </c>
      <c r="H204">
        <v>37825</v>
      </c>
      <c r="I204" t="s">
        <v>67</v>
      </c>
      <c r="J204">
        <v>100</v>
      </c>
      <c r="K204" t="s">
        <v>67</v>
      </c>
      <c r="L204" t="s">
        <v>16</v>
      </c>
    </row>
    <row r="205" spans="1:12" ht="14.25" x14ac:dyDescent="0.2">
      <c r="A205">
        <v>203</v>
      </c>
      <c r="B205">
        <v>2021</v>
      </c>
      <c r="C205" t="s">
        <v>17</v>
      </c>
      <c r="D205" t="s">
        <v>12</v>
      </c>
      <c r="E205" t="s">
        <v>55</v>
      </c>
      <c r="F205">
        <v>50000</v>
      </c>
      <c r="G205" t="s">
        <v>19</v>
      </c>
      <c r="H205">
        <v>50000</v>
      </c>
      <c r="I205" t="s">
        <v>38</v>
      </c>
      <c r="J205">
        <v>100</v>
      </c>
      <c r="K205" t="s">
        <v>29</v>
      </c>
      <c r="L205" t="s">
        <v>21</v>
      </c>
    </row>
    <row r="206" spans="1:12" ht="14.25" x14ac:dyDescent="0.2">
      <c r="A206">
        <v>204</v>
      </c>
      <c r="B206">
        <v>2021</v>
      </c>
      <c r="C206" t="s">
        <v>11</v>
      </c>
      <c r="D206" t="s">
        <v>12</v>
      </c>
      <c r="E206" t="s">
        <v>13</v>
      </c>
      <c r="F206">
        <v>160000</v>
      </c>
      <c r="G206" t="s">
        <v>19</v>
      </c>
      <c r="H206">
        <v>160000</v>
      </c>
      <c r="I206" t="s">
        <v>29</v>
      </c>
      <c r="J206">
        <v>100</v>
      </c>
      <c r="K206" t="s">
        <v>29</v>
      </c>
      <c r="L206" t="s">
        <v>16</v>
      </c>
    </row>
    <row r="207" spans="1:12" ht="14.25" x14ac:dyDescent="0.2">
      <c r="A207">
        <v>205</v>
      </c>
      <c r="B207">
        <v>2021</v>
      </c>
      <c r="C207" t="s">
        <v>11</v>
      </c>
      <c r="D207" t="s">
        <v>12</v>
      </c>
      <c r="E207" t="s">
        <v>13</v>
      </c>
      <c r="F207">
        <v>69600</v>
      </c>
      <c r="G207" t="s">
        <v>117</v>
      </c>
      <c r="H207">
        <v>12901</v>
      </c>
      <c r="I207" t="s">
        <v>91</v>
      </c>
      <c r="J207">
        <v>0</v>
      </c>
      <c r="K207" t="s">
        <v>91</v>
      </c>
      <c r="L207" t="s">
        <v>21</v>
      </c>
    </row>
    <row r="208" spans="1:12" ht="14.25" x14ac:dyDescent="0.2">
      <c r="A208">
        <v>206</v>
      </c>
      <c r="B208">
        <v>2021</v>
      </c>
      <c r="C208" t="s">
        <v>17</v>
      </c>
      <c r="D208" t="s">
        <v>12</v>
      </c>
      <c r="E208" t="s">
        <v>28</v>
      </c>
      <c r="F208">
        <v>200000</v>
      </c>
      <c r="G208" t="s">
        <v>19</v>
      </c>
      <c r="H208">
        <v>200000</v>
      </c>
      <c r="I208" t="s">
        <v>29</v>
      </c>
      <c r="J208">
        <v>100</v>
      </c>
      <c r="K208" t="s">
        <v>29</v>
      </c>
      <c r="L208" t="s">
        <v>16</v>
      </c>
    </row>
    <row r="209" spans="1:12" ht="14.25" x14ac:dyDescent="0.2">
      <c r="A209">
        <v>207</v>
      </c>
      <c r="B209">
        <v>2021</v>
      </c>
      <c r="C209" t="s">
        <v>17</v>
      </c>
      <c r="D209" t="s">
        <v>12</v>
      </c>
      <c r="E209" t="s">
        <v>43</v>
      </c>
      <c r="F209">
        <v>165000</v>
      </c>
      <c r="G209" t="s">
        <v>19</v>
      </c>
      <c r="H209">
        <v>165000</v>
      </c>
      <c r="I209" t="s">
        <v>29</v>
      </c>
      <c r="J209">
        <v>0</v>
      </c>
      <c r="K209" t="s">
        <v>29</v>
      </c>
      <c r="L209" t="s">
        <v>25</v>
      </c>
    </row>
    <row r="210" spans="1:12" ht="14.25" x14ac:dyDescent="0.2">
      <c r="A210">
        <v>208</v>
      </c>
      <c r="B210">
        <v>2021</v>
      </c>
      <c r="C210" t="s">
        <v>11</v>
      </c>
      <c r="D210" t="s">
        <v>73</v>
      </c>
      <c r="E210" t="s">
        <v>43</v>
      </c>
      <c r="F210">
        <v>20000</v>
      </c>
      <c r="G210" t="s">
        <v>19</v>
      </c>
      <c r="H210">
        <v>20000</v>
      </c>
      <c r="I210" t="s">
        <v>77</v>
      </c>
      <c r="J210">
        <v>0</v>
      </c>
      <c r="K210" t="s">
        <v>29</v>
      </c>
      <c r="L210" t="s">
        <v>16</v>
      </c>
    </row>
    <row r="211" spans="1:12" ht="14.25" x14ac:dyDescent="0.2">
      <c r="A211">
        <v>209</v>
      </c>
      <c r="B211">
        <v>2021</v>
      </c>
      <c r="C211" t="s">
        <v>17</v>
      </c>
      <c r="D211" t="s">
        <v>12</v>
      </c>
      <c r="E211" t="s">
        <v>105</v>
      </c>
      <c r="F211">
        <v>120000</v>
      </c>
      <c r="G211" t="s">
        <v>19</v>
      </c>
      <c r="H211">
        <v>120000</v>
      </c>
      <c r="I211" t="s">
        <v>29</v>
      </c>
      <c r="J211">
        <v>0</v>
      </c>
      <c r="K211" t="s">
        <v>29</v>
      </c>
      <c r="L211" t="s">
        <v>16</v>
      </c>
    </row>
    <row r="212" spans="1:12" ht="14.25" x14ac:dyDescent="0.2">
      <c r="A212">
        <v>210</v>
      </c>
      <c r="B212">
        <v>2021</v>
      </c>
      <c r="C212" t="s">
        <v>11</v>
      </c>
      <c r="D212" t="s">
        <v>12</v>
      </c>
      <c r="E212" t="s">
        <v>28</v>
      </c>
      <c r="F212">
        <v>21000</v>
      </c>
      <c r="G212" t="s">
        <v>14</v>
      </c>
      <c r="H212">
        <v>24823</v>
      </c>
      <c r="I212" t="s">
        <v>118</v>
      </c>
      <c r="J212">
        <v>50</v>
      </c>
      <c r="K212" t="s">
        <v>118</v>
      </c>
      <c r="L212" t="s">
        <v>16</v>
      </c>
    </row>
    <row r="213" spans="1:12" ht="14.25" x14ac:dyDescent="0.2">
      <c r="A213">
        <v>211</v>
      </c>
      <c r="B213">
        <v>2021</v>
      </c>
      <c r="C213" t="s">
        <v>11</v>
      </c>
      <c r="D213" t="s">
        <v>12</v>
      </c>
      <c r="E213" t="s">
        <v>55</v>
      </c>
      <c r="F213">
        <v>48000</v>
      </c>
      <c r="G213" t="s">
        <v>14</v>
      </c>
      <c r="H213">
        <v>56738</v>
      </c>
      <c r="I213" t="s">
        <v>38</v>
      </c>
      <c r="J213">
        <v>50</v>
      </c>
      <c r="K213" t="s">
        <v>38</v>
      </c>
      <c r="L213" t="s">
        <v>21</v>
      </c>
    </row>
    <row r="214" spans="1:12" ht="14.25" x14ac:dyDescent="0.2">
      <c r="A214">
        <v>212</v>
      </c>
      <c r="B214">
        <v>2021</v>
      </c>
      <c r="C214" t="s">
        <v>11</v>
      </c>
      <c r="D214" t="s">
        <v>12</v>
      </c>
      <c r="E214" t="s">
        <v>43</v>
      </c>
      <c r="F214">
        <v>48000</v>
      </c>
      <c r="G214" t="s">
        <v>23</v>
      </c>
      <c r="H214">
        <v>66022</v>
      </c>
      <c r="I214" t="s">
        <v>119</v>
      </c>
      <c r="J214">
        <v>50</v>
      </c>
      <c r="K214" t="s">
        <v>24</v>
      </c>
      <c r="L214" t="s">
        <v>21</v>
      </c>
    </row>
    <row r="215" spans="1:12" ht="14.25" x14ac:dyDescent="0.2">
      <c r="A215">
        <v>213</v>
      </c>
      <c r="B215">
        <v>2021</v>
      </c>
      <c r="C215" t="s">
        <v>30</v>
      </c>
      <c r="D215" t="s">
        <v>12</v>
      </c>
      <c r="E215" t="s">
        <v>22</v>
      </c>
      <c r="F215">
        <v>435000</v>
      </c>
      <c r="G215" t="s">
        <v>39</v>
      </c>
      <c r="H215">
        <v>5882</v>
      </c>
      <c r="I215" t="s">
        <v>40</v>
      </c>
      <c r="J215">
        <v>0</v>
      </c>
      <c r="K215" t="s">
        <v>120</v>
      </c>
      <c r="L215" t="s">
        <v>16</v>
      </c>
    </row>
    <row r="216" spans="1:12" ht="14.25" x14ac:dyDescent="0.2">
      <c r="A216">
        <v>214</v>
      </c>
      <c r="B216">
        <v>2021</v>
      </c>
      <c r="C216" t="s">
        <v>30</v>
      </c>
      <c r="D216" t="s">
        <v>12</v>
      </c>
      <c r="E216" t="s">
        <v>28</v>
      </c>
      <c r="F216">
        <v>21000</v>
      </c>
      <c r="G216" t="s">
        <v>14</v>
      </c>
      <c r="H216">
        <v>24823</v>
      </c>
      <c r="I216" t="s">
        <v>15</v>
      </c>
      <c r="J216">
        <v>50</v>
      </c>
      <c r="K216" t="s">
        <v>15</v>
      </c>
      <c r="L216" t="s">
        <v>25</v>
      </c>
    </row>
    <row r="217" spans="1:12" ht="14.25" x14ac:dyDescent="0.2">
      <c r="A217">
        <v>215</v>
      </c>
      <c r="B217">
        <v>2021</v>
      </c>
      <c r="C217" t="s">
        <v>17</v>
      </c>
      <c r="D217" t="s">
        <v>12</v>
      </c>
      <c r="E217" t="s">
        <v>97</v>
      </c>
      <c r="F217">
        <v>185000</v>
      </c>
      <c r="G217" t="s">
        <v>19</v>
      </c>
      <c r="H217">
        <v>185000</v>
      </c>
      <c r="I217" t="s">
        <v>29</v>
      </c>
      <c r="J217">
        <v>100</v>
      </c>
      <c r="K217" t="s">
        <v>29</v>
      </c>
      <c r="L217" t="s">
        <v>16</v>
      </c>
    </row>
    <row r="218" spans="1:12" ht="14.25" x14ac:dyDescent="0.2">
      <c r="A218">
        <v>216</v>
      </c>
      <c r="B218">
        <v>2021</v>
      </c>
      <c r="C218" t="s">
        <v>30</v>
      </c>
      <c r="D218" t="s">
        <v>47</v>
      </c>
      <c r="E218" t="s">
        <v>74</v>
      </c>
      <c r="F218">
        <v>180000</v>
      </c>
      <c r="G218" t="s">
        <v>71</v>
      </c>
      <c r="H218">
        <v>28609</v>
      </c>
      <c r="I218" t="s">
        <v>72</v>
      </c>
      <c r="J218">
        <v>50</v>
      </c>
      <c r="K218" t="s">
        <v>72</v>
      </c>
      <c r="L218" t="s">
        <v>21</v>
      </c>
    </row>
    <row r="219" spans="1:12" ht="14.25" x14ac:dyDescent="0.2">
      <c r="A219">
        <v>217</v>
      </c>
      <c r="B219">
        <v>2021</v>
      </c>
      <c r="C219" t="s">
        <v>11</v>
      </c>
      <c r="D219" t="s">
        <v>12</v>
      </c>
      <c r="E219" t="s">
        <v>13</v>
      </c>
      <c r="F219">
        <v>76760</v>
      </c>
      <c r="G219" t="s">
        <v>14</v>
      </c>
      <c r="H219">
        <v>90734</v>
      </c>
      <c r="I219" t="s">
        <v>15</v>
      </c>
      <c r="J219">
        <v>50</v>
      </c>
      <c r="K219" t="s">
        <v>15</v>
      </c>
      <c r="L219" t="s">
        <v>16</v>
      </c>
    </row>
    <row r="220" spans="1:12" ht="14.25" x14ac:dyDescent="0.2">
      <c r="A220">
        <v>218</v>
      </c>
      <c r="B220">
        <v>2021</v>
      </c>
      <c r="C220" t="s">
        <v>11</v>
      </c>
      <c r="D220" t="s">
        <v>12</v>
      </c>
      <c r="E220" t="s">
        <v>28</v>
      </c>
      <c r="F220">
        <v>75000</v>
      </c>
      <c r="G220" t="s">
        <v>14</v>
      </c>
      <c r="H220">
        <v>88654</v>
      </c>
      <c r="I220" t="s">
        <v>102</v>
      </c>
      <c r="J220">
        <v>100</v>
      </c>
      <c r="K220" t="s">
        <v>102</v>
      </c>
      <c r="L220" t="s">
        <v>25</v>
      </c>
    </row>
    <row r="221" spans="1:12" ht="14.25" x14ac:dyDescent="0.2">
      <c r="A221">
        <v>219</v>
      </c>
      <c r="B221">
        <v>2021</v>
      </c>
      <c r="C221" t="s">
        <v>17</v>
      </c>
      <c r="D221" t="s">
        <v>12</v>
      </c>
      <c r="E221" t="s">
        <v>105</v>
      </c>
      <c r="F221">
        <v>140000</v>
      </c>
      <c r="G221" t="s">
        <v>19</v>
      </c>
      <c r="H221">
        <v>140000</v>
      </c>
      <c r="I221" t="s">
        <v>29</v>
      </c>
      <c r="J221">
        <v>100</v>
      </c>
      <c r="K221" t="s">
        <v>29</v>
      </c>
      <c r="L221" t="s">
        <v>16</v>
      </c>
    </row>
    <row r="222" spans="1:12" ht="14.25" x14ac:dyDescent="0.2">
      <c r="A222">
        <v>220</v>
      </c>
      <c r="B222">
        <v>2021</v>
      </c>
      <c r="C222" t="s">
        <v>11</v>
      </c>
      <c r="D222" t="s">
        <v>12</v>
      </c>
      <c r="E222" t="s">
        <v>28</v>
      </c>
      <c r="F222">
        <v>180000</v>
      </c>
      <c r="G222" t="s">
        <v>85</v>
      </c>
      <c r="H222">
        <v>46597</v>
      </c>
      <c r="I222" t="s">
        <v>45</v>
      </c>
      <c r="J222">
        <v>100</v>
      </c>
      <c r="K222" t="s">
        <v>45</v>
      </c>
      <c r="L222" t="s">
        <v>16</v>
      </c>
    </row>
    <row r="223" spans="1:12" ht="14.25" x14ac:dyDescent="0.2">
      <c r="A223">
        <v>221</v>
      </c>
      <c r="B223">
        <v>2021</v>
      </c>
      <c r="C223" t="s">
        <v>11</v>
      </c>
      <c r="D223" t="s">
        <v>12</v>
      </c>
      <c r="E223" t="s">
        <v>13</v>
      </c>
      <c r="F223">
        <v>85000</v>
      </c>
      <c r="G223" t="s">
        <v>23</v>
      </c>
      <c r="H223">
        <v>116914</v>
      </c>
      <c r="I223" t="s">
        <v>24</v>
      </c>
      <c r="J223">
        <v>50</v>
      </c>
      <c r="K223" t="s">
        <v>24</v>
      </c>
      <c r="L223" t="s">
        <v>16</v>
      </c>
    </row>
    <row r="224" spans="1:12" ht="14.25" x14ac:dyDescent="0.2">
      <c r="A224">
        <v>222</v>
      </c>
      <c r="B224">
        <v>2021</v>
      </c>
      <c r="C224" t="s">
        <v>11</v>
      </c>
      <c r="D224" t="s">
        <v>12</v>
      </c>
      <c r="E224" t="s">
        <v>13</v>
      </c>
      <c r="F224">
        <v>2500000</v>
      </c>
      <c r="G224" t="s">
        <v>39</v>
      </c>
      <c r="H224">
        <v>33808</v>
      </c>
      <c r="I224" t="s">
        <v>40</v>
      </c>
      <c r="J224">
        <v>0</v>
      </c>
      <c r="K224" t="s">
        <v>40</v>
      </c>
      <c r="L224" t="s">
        <v>25</v>
      </c>
    </row>
    <row r="225" spans="1:12" ht="14.25" x14ac:dyDescent="0.2">
      <c r="A225">
        <v>223</v>
      </c>
      <c r="B225">
        <v>2021</v>
      </c>
      <c r="C225" t="s">
        <v>11</v>
      </c>
      <c r="D225" t="s">
        <v>12</v>
      </c>
      <c r="E225" t="s">
        <v>13</v>
      </c>
      <c r="F225">
        <v>40900</v>
      </c>
      <c r="G225" t="s">
        <v>23</v>
      </c>
      <c r="H225">
        <v>56256</v>
      </c>
      <c r="I225" t="s">
        <v>24</v>
      </c>
      <c r="J225">
        <v>50</v>
      </c>
      <c r="K225" t="s">
        <v>24</v>
      </c>
      <c r="L225" t="s">
        <v>16</v>
      </c>
    </row>
    <row r="226" spans="1:12" ht="14.25" x14ac:dyDescent="0.2">
      <c r="A226">
        <v>224</v>
      </c>
      <c r="B226">
        <v>2021</v>
      </c>
      <c r="C226" t="s">
        <v>17</v>
      </c>
      <c r="D226" t="s">
        <v>12</v>
      </c>
      <c r="E226" t="s">
        <v>18</v>
      </c>
      <c r="F226">
        <v>225000</v>
      </c>
      <c r="G226" t="s">
        <v>19</v>
      </c>
      <c r="H226">
        <v>225000</v>
      </c>
      <c r="I226" t="s">
        <v>29</v>
      </c>
      <c r="J226">
        <v>100</v>
      </c>
      <c r="K226" t="s">
        <v>62</v>
      </c>
      <c r="L226" t="s">
        <v>16</v>
      </c>
    </row>
    <row r="227" spans="1:12" ht="14.25" x14ac:dyDescent="0.2">
      <c r="A227">
        <v>225</v>
      </c>
      <c r="B227">
        <v>2021</v>
      </c>
      <c r="C227" t="s">
        <v>53</v>
      </c>
      <c r="D227" t="s">
        <v>59</v>
      </c>
      <c r="E227" t="s">
        <v>76</v>
      </c>
      <c r="F227">
        <v>416000</v>
      </c>
      <c r="G227" t="s">
        <v>19</v>
      </c>
      <c r="H227">
        <v>416000</v>
      </c>
      <c r="I227" t="s">
        <v>29</v>
      </c>
      <c r="J227">
        <v>100</v>
      </c>
      <c r="K227" t="s">
        <v>29</v>
      </c>
      <c r="L227" t="s">
        <v>21</v>
      </c>
    </row>
    <row r="228" spans="1:12" ht="14.25" x14ac:dyDescent="0.2">
      <c r="A228">
        <v>226</v>
      </c>
      <c r="B228">
        <v>2021</v>
      </c>
      <c r="C228" t="s">
        <v>17</v>
      </c>
      <c r="D228" t="s">
        <v>12</v>
      </c>
      <c r="E228" t="s">
        <v>13</v>
      </c>
      <c r="F228">
        <v>110000</v>
      </c>
      <c r="G228" t="s">
        <v>61</v>
      </c>
      <c r="H228">
        <v>87738</v>
      </c>
      <c r="I228" t="s">
        <v>62</v>
      </c>
      <c r="J228">
        <v>100</v>
      </c>
      <c r="K228" t="s">
        <v>62</v>
      </c>
      <c r="L228" t="s">
        <v>21</v>
      </c>
    </row>
    <row r="229" spans="1:12" ht="14.25" x14ac:dyDescent="0.2">
      <c r="A229">
        <v>227</v>
      </c>
      <c r="B229">
        <v>2021</v>
      </c>
      <c r="C229" t="s">
        <v>11</v>
      </c>
      <c r="D229" t="s">
        <v>12</v>
      </c>
      <c r="E229" t="s">
        <v>13</v>
      </c>
      <c r="F229">
        <v>75000</v>
      </c>
      <c r="G229" t="s">
        <v>14</v>
      </c>
      <c r="H229">
        <v>88654</v>
      </c>
      <c r="I229" t="s">
        <v>15</v>
      </c>
      <c r="J229">
        <v>50</v>
      </c>
      <c r="K229" t="s">
        <v>15</v>
      </c>
      <c r="L229" t="s">
        <v>16</v>
      </c>
    </row>
    <row r="230" spans="1:12" ht="14.25" x14ac:dyDescent="0.2">
      <c r="A230">
        <v>228</v>
      </c>
      <c r="B230">
        <v>2021</v>
      </c>
      <c r="C230" t="s">
        <v>17</v>
      </c>
      <c r="D230" t="s">
        <v>12</v>
      </c>
      <c r="E230" t="s">
        <v>13</v>
      </c>
      <c r="F230">
        <v>135000</v>
      </c>
      <c r="G230" t="s">
        <v>19</v>
      </c>
      <c r="H230">
        <v>135000</v>
      </c>
      <c r="I230" t="s">
        <v>29</v>
      </c>
      <c r="J230">
        <v>0</v>
      </c>
      <c r="K230" t="s">
        <v>29</v>
      </c>
      <c r="L230" t="s">
        <v>16</v>
      </c>
    </row>
    <row r="231" spans="1:12" ht="14.25" x14ac:dyDescent="0.2">
      <c r="A231">
        <v>229</v>
      </c>
      <c r="B231">
        <v>2021</v>
      </c>
      <c r="C231" t="s">
        <v>17</v>
      </c>
      <c r="D231" t="s">
        <v>12</v>
      </c>
      <c r="E231" t="s">
        <v>31</v>
      </c>
      <c r="F231">
        <v>90000</v>
      </c>
      <c r="G231" t="s">
        <v>61</v>
      </c>
      <c r="H231">
        <v>71786</v>
      </c>
      <c r="I231" t="s">
        <v>62</v>
      </c>
      <c r="J231">
        <v>100</v>
      </c>
      <c r="K231" t="s">
        <v>62</v>
      </c>
      <c r="L231" t="s">
        <v>25</v>
      </c>
    </row>
    <row r="232" spans="1:12" ht="14.25" x14ac:dyDescent="0.2">
      <c r="A232">
        <v>230</v>
      </c>
      <c r="B232">
        <v>2021</v>
      </c>
      <c r="C232" t="s">
        <v>30</v>
      </c>
      <c r="D232" t="s">
        <v>12</v>
      </c>
      <c r="E232" t="s">
        <v>22</v>
      </c>
      <c r="F232">
        <v>1200000</v>
      </c>
      <c r="G232" t="s">
        <v>39</v>
      </c>
      <c r="H232">
        <v>16228</v>
      </c>
      <c r="I232" t="s">
        <v>40</v>
      </c>
      <c r="J232">
        <v>100</v>
      </c>
      <c r="K232" t="s">
        <v>40</v>
      </c>
      <c r="L232" t="s">
        <v>16</v>
      </c>
    </row>
    <row r="233" spans="1:12" ht="14.25" x14ac:dyDescent="0.2">
      <c r="A233">
        <v>231</v>
      </c>
      <c r="B233">
        <v>2021</v>
      </c>
      <c r="C233" t="s">
        <v>17</v>
      </c>
      <c r="D233" t="s">
        <v>12</v>
      </c>
      <c r="E233" t="s">
        <v>69</v>
      </c>
      <c r="F233">
        <v>256000</v>
      </c>
      <c r="G233" t="s">
        <v>19</v>
      </c>
      <c r="H233">
        <v>256000</v>
      </c>
      <c r="I233" t="s">
        <v>29</v>
      </c>
      <c r="J233">
        <v>100</v>
      </c>
      <c r="K233" t="s">
        <v>29</v>
      </c>
      <c r="L233" t="s">
        <v>21</v>
      </c>
    </row>
    <row r="234" spans="1:12" ht="14.25" x14ac:dyDescent="0.2">
      <c r="A234">
        <v>232</v>
      </c>
      <c r="B234">
        <v>2021</v>
      </c>
      <c r="C234" t="s">
        <v>17</v>
      </c>
      <c r="D234" t="s">
        <v>12</v>
      </c>
      <c r="E234" t="s">
        <v>94</v>
      </c>
      <c r="F234">
        <v>200000</v>
      </c>
      <c r="G234" t="s">
        <v>19</v>
      </c>
      <c r="H234">
        <v>200000</v>
      </c>
      <c r="I234" t="s">
        <v>29</v>
      </c>
      <c r="J234">
        <v>100</v>
      </c>
      <c r="K234" t="s">
        <v>29</v>
      </c>
      <c r="L234" t="s">
        <v>16</v>
      </c>
    </row>
    <row r="235" spans="1:12" ht="14.25" x14ac:dyDescent="0.2">
      <c r="A235">
        <v>233</v>
      </c>
      <c r="B235">
        <v>2021</v>
      </c>
      <c r="C235" t="s">
        <v>17</v>
      </c>
      <c r="D235" t="s">
        <v>12</v>
      </c>
      <c r="E235" t="s">
        <v>31</v>
      </c>
      <c r="F235">
        <v>200000</v>
      </c>
      <c r="G235" t="s">
        <v>19</v>
      </c>
      <c r="H235">
        <v>200000</v>
      </c>
      <c r="I235" t="s">
        <v>29</v>
      </c>
      <c r="J235">
        <v>100</v>
      </c>
      <c r="K235" t="s">
        <v>29</v>
      </c>
      <c r="L235" t="s">
        <v>16</v>
      </c>
    </row>
    <row r="236" spans="1:12" ht="14.25" x14ac:dyDescent="0.2">
      <c r="A236">
        <v>234</v>
      </c>
      <c r="B236">
        <v>2021</v>
      </c>
      <c r="C236" t="s">
        <v>11</v>
      </c>
      <c r="D236" t="s">
        <v>12</v>
      </c>
      <c r="E236" t="s">
        <v>109</v>
      </c>
      <c r="F236">
        <v>180000</v>
      </c>
      <c r="G236" t="s">
        <v>19</v>
      </c>
      <c r="H236">
        <v>180000</v>
      </c>
      <c r="I236" t="s">
        <v>29</v>
      </c>
      <c r="J236">
        <v>100</v>
      </c>
      <c r="K236" t="s">
        <v>29</v>
      </c>
      <c r="L236" t="s">
        <v>16</v>
      </c>
    </row>
    <row r="237" spans="1:12" ht="14.25" x14ac:dyDescent="0.2">
      <c r="A237">
        <v>235</v>
      </c>
      <c r="B237">
        <v>2021</v>
      </c>
      <c r="C237" t="s">
        <v>11</v>
      </c>
      <c r="D237" t="s">
        <v>12</v>
      </c>
      <c r="E237" t="s">
        <v>106</v>
      </c>
      <c r="F237">
        <v>110000</v>
      </c>
      <c r="G237" t="s">
        <v>19</v>
      </c>
      <c r="H237">
        <v>110000</v>
      </c>
      <c r="I237" t="s">
        <v>29</v>
      </c>
      <c r="J237">
        <v>0</v>
      </c>
      <c r="K237" t="s">
        <v>29</v>
      </c>
      <c r="L237" t="s">
        <v>21</v>
      </c>
    </row>
    <row r="238" spans="1:12" ht="14.25" x14ac:dyDescent="0.2">
      <c r="A238">
        <v>236</v>
      </c>
      <c r="B238">
        <v>2021</v>
      </c>
      <c r="C238" t="s">
        <v>11</v>
      </c>
      <c r="D238" t="s">
        <v>12</v>
      </c>
      <c r="E238" t="s">
        <v>55</v>
      </c>
      <c r="F238">
        <v>80000</v>
      </c>
      <c r="G238" t="s">
        <v>61</v>
      </c>
      <c r="H238">
        <v>63810</v>
      </c>
      <c r="I238" t="s">
        <v>62</v>
      </c>
      <c r="J238">
        <v>100</v>
      </c>
      <c r="K238" t="s">
        <v>62</v>
      </c>
      <c r="L238" t="s">
        <v>25</v>
      </c>
    </row>
    <row r="239" spans="1:12" ht="14.25" x14ac:dyDescent="0.2">
      <c r="A239">
        <v>237</v>
      </c>
      <c r="B239">
        <v>2021</v>
      </c>
      <c r="C239" t="s">
        <v>11</v>
      </c>
      <c r="D239" t="s">
        <v>12</v>
      </c>
      <c r="E239" t="s">
        <v>13</v>
      </c>
      <c r="F239">
        <v>39600</v>
      </c>
      <c r="G239" t="s">
        <v>14</v>
      </c>
      <c r="H239">
        <v>46809</v>
      </c>
      <c r="I239" t="s">
        <v>67</v>
      </c>
      <c r="J239">
        <v>100</v>
      </c>
      <c r="K239" t="s">
        <v>67</v>
      </c>
      <c r="L239" t="s">
        <v>25</v>
      </c>
    </row>
    <row r="240" spans="1:12" ht="14.25" x14ac:dyDescent="0.2">
      <c r="A240">
        <v>238</v>
      </c>
      <c r="B240">
        <v>2021</v>
      </c>
      <c r="C240" t="s">
        <v>30</v>
      </c>
      <c r="D240" t="s">
        <v>12</v>
      </c>
      <c r="E240" t="s">
        <v>13</v>
      </c>
      <c r="F240">
        <v>4000</v>
      </c>
      <c r="G240" t="s">
        <v>19</v>
      </c>
      <c r="H240">
        <v>4000</v>
      </c>
      <c r="I240" t="s">
        <v>101</v>
      </c>
      <c r="J240">
        <v>0</v>
      </c>
      <c r="K240" t="s">
        <v>101</v>
      </c>
      <c r="L240" t="s">
        <v>25</v>
      </c>
    </row>
    <row r="241" spans="1:12" ht="14.25" x14ac:dyDescent="0.2">
      <c r="A241">
        <v>239</v>
      </c>
      <c r="B241">
        <v>2021</v>
      </c>
      <c r="C241" t="s">
        <v>30</v>
      </c>
      <c r="D241" t="s">
        <v>12</v>
      </c>
      <c r="E241" t="s">
        <v>43</v>
      </c>
      <c r="F241">
        <v>1600000</v>
      </c>
      <c r="G241" t="s">
        <v>39</v>
      </c>
      <c r="H241">
        <v>21637</v>
      </c>
      <c r="I241" t="s">
        <v>40</v>
      </c>
      <c r="J241">
        <v>50</v>
      </c>
      <c r="K241" t="s">
        <v>40</v>
      </c>
      <c r="L241" t="s">
        <v>25</v>
      </c>
    </row>
    <row r="242" spans="1:12" ht="14.25" x14ac:dyDescent="0.2">
      <c r="A242">
        <v>240</v>
      </c>
      <c r="B242">
        <v>2021</v>
      </c>
      <c r="C242" t="s">
        <v>17</v>
      </c>
      <c r="D242" t="s">
        <v>12</v>
      </c>
      <c r="E242" t="s">
        <v>13</v>
      </c>
      <c r="F242">
        <v>130000</v>
      </c>
      <c r="G242" t="s">
        <v>61</v>
      </c>
      <c r="H242">
        <v>103691</v>
      </c>
      <c r="I242" t="s">
        <v>62</v>
      </c>
      <c r="J242">
        <v>100</v>
      </c>
      <c r="K242" t="s">
        <v>62</v>
      </c>
      <c r="L242" t="s">
        <v>16</v>
      </c>
    </row>
    <row r="243" spans="1:12" ht="14.25" x14ac:dyDescent="0.2">
      <c r="A243">
        <v>241</v>
      </c>
      <c r="B243">
        <v>2021</v>
      </c>
      <c r="C243" t="s">
        <v>11</v>
      </c>
      <c r="D243" t="s">
        <v>12</v>
      </c>
      <c r="E243" t="s">
        <v>31</v>
      </c>
      <c r="F243">
        <v>80000</v>
      </c>
      <c r="G243" t="s">
        <v>19</v>
      </c>
      <c r="H243">
        <v>80000</v>
      </c>
      <c r="I243" t="s">
        <v>29</v>
      </c>
      <c r="J243">
        <v>100</v>
      </c>
      <c r="K243" t="s">
        <v>29</v>
      </c>
      <c r="L243" t="s">
        <v>16</v>
      </c>
    </row>
    <row r="244" spans="1:12" ht="14.25" x14ac:dyDescent="0.2">
      <c r="A244">
        <v>242</v>
      </c>
      <c r="B244">
        <v>2021</v>
      </c>
      <c r="C244" t="s">
        <v>11</v>
      </c>
      <c r="D244" t="s">
        <v>12</v>
      </c>
      <c r="E244" t="s">
        <v>43</v>
      </c>
      <c r="F244">
        <v>110000</v>
      </c>
      <c r="G244" t="s">
        <v>19</v>
      </c>
      <c r="H244">
        <v>110000</v>
      </c>
      <c r="I244" t="s">
        <v>29</v>
      </c>
      <c r="J244">
        <v>100</v>
      </c>
      <c r="K244" t="s">
        <v>29</v>
      </c>
      <c r="L244" t="s">
        <v>16</v>
      </c>
    </row>
    <row r="245" spans="1:12" ht="14.25" x14ac:dyDescent="0.2">
      <c r="A245">
        <v>243</v>
      </c>
      <c r="B245">
        <v>2021</v>
      </c>
      <c r="C245" t="s">
        <v>17</v>
      </c>
      <c r="D245" t="s">
        <v>12</v>
      </c>
      <c r="E245" t="s">
        <v>13</v>
      </c>
      <c r="F245">
        <v>165000</v>
      </c>
      <c r="G245" t="s">
        <v>19</v>
      </c>
      <c r="H245">
        <v>165000</v>
      </c>
      <c r="I245" t="s">
        <v>29</v>
      </c>
      <c r="J245">
        <v>100</v>
      </c>
      <c r="K245" t="s">
        <v>29</v>
      </c>
      <c r="L245" t="s">
        <v>16</v>
      </c>
    </row>
    <row r="246" spans="1:12" ht="14.25" x14ac:dyDescent="0.2">
      <c r="A246">
        <v>244</v>
      </c>
      <c r="B246">
        <v>2021</v>
      </c>
      <c r="C246" t="s">
        <v>30</v>
      </c>
      <c r="D246" t="s">
        <v>12</v>
      </c>
      <c r="E246" t="s">
        <v>70</v>
      </c>
      <c r="F246">
        <v>1335000</v>
      </c>
      <c r="G246" t="s">
        <v>39</v>
      </c>
      <c r="H246">
        <v>18053</v>
      </c>
      <c r="I246" t="s">
        <v>40</v>
      </c>
      <c r="J246">
        <v>100</v>
      </c>
      <c r="K246" t="s">
        <v>121</v>
      </c>
      <c r="L246" t="s">
        <v>21</v>
      </c>
    </row>
    <row r="247" spans="1:12" ht="14.25" x14ac:dyDescent="0.2">
      <c r="A247">
        <v>245</v>
      </c>
      <c r="B247">
        <v>2021</v>
      </c>
      <c r="C247" t="s">
        <v>11</v>
      </c>
      <c r="D247" t="s">
        <v>12</v>
      </c>
      <c r="E247" t="s">
        <v>43</v>
      </c>
      <c r="F247">
        <v>52500</v>
      </c>
      <c r="G247" t="s">
        <v>23</v>
      </c>
      <c r="H247">
        <v>72212</v>
      </c>
      <c r="I247" t="s">
        <v>24</v>
      </c>
      <c r="J247">
        <v>50</v>
      </c>
      <c r="K247" t="s">
        <v>24</v>
      </c>
      <c r="L247" t="s">
        <v>16</v>
      </c>
    </row>
    <row r="248" spans="1:12" ht="14.25" x14ac:dyDescent="0.2">
      <c r="A248">
        <v>246</v>
      </c>
      <c r="B248">
        <v>2021</v>
      </c>
      <c r="C248" t="s">
        <v>30</v>
      </c>
      <c r="D248" t="s">
        <v>12</v>
      </c>
      <c r="E248" t="s">
        <v>13</v>
      </c>
      <c r="F248">
        <v>31000</v>
      </c>
      <c r="G248" t="s">
        <v>14</v>
      </c>
      <c r="H248">
        <v>36643</v>
      </c>
      <c r="I248" t="s">
        <v>38</v>
      </c>
      <c r="J248">
        <v>50</v>
      </c>
      <c r="K248" t="s">
        <v>38</v>
      </c>
      <c r="L248" t="s">
        <v>16</v>
      </c>
    </row>
    <row r="249" spans="1:12" ht="14.25" x14ac:dyDescent="0.2">
      <c r="A249">
        <v>247</v>
      </c>
      <c r="B249">
        <v>2021</v>
      </c>
      <c r="C249" t="s">
        <v>11</v>
      </c>
      <c r="D249" t="s">
        <v>12</v>
      </c>
      <c r="E249" t="s">
        <v>43</v>
      </c>
      <c r="F249">
        <v>108000</v>
      </c>
      <c r="G249" t="s">
        <v>122</v>
      </c>
      <c r="H249">
        <v>12103</v>
      </c>
      <c r="I249" t="s">
        <v>123</v>
      </c>
      <c r="J249">
        <v>0</v>
      </c>
      <c r="K249" t="s">
        <v>123</v>
      </c>
      <c r="L249" t="s">
        <v>25</v>
      </c>
    </row>
    <row r="250" spans="1:12" ht="14.25" x14ac:dyDescent="0.2">
      <c r="A250">
        <v>248</v>
      </c>
      <c r="B250">
        <v>2021</v>
      </c>
      <c r="C250" t="s">
        <v>17</v>
      </c>
      <c r="D250" t="s">
        <v>12</v>
      </c>
      <c r="E250" t="s">
        <v>43</v>
      </c>
      <c r="F250">
        <v>70000</v>
      </c>
      <c r="G250" t="s">
        <v>23</v>
      </c>
      <c r="H250">
        <v>96282</v>
      </c>
      <c r="I250" t="s">
        <v>24</v>
      </c>
      <c r="J250">
        <v>50</v>
      </c>
      <c r="K250" t="s">
        <v>24</v>
      </c>
      <c r="L250" t="s">
        <v>16</v>
      </c>
    </row>
    <row r="251" spans="1:12" ht="14.25" x14ac:dyDescent="0.2">
      <c r="A251">
        <v>249</v>
      </c>
      <c r="B251">
        <v>2021</v>
      </c>
      <c r="C251" t="s">
        <v>17</v>
      </c>
      <c r="D251" t="s">
        <v>12</v>
      </c>
      <c r="E251" t="s">
        <v>124</v>
      </c>
      <c r="F251">
        <v>170000</v>
      </c>
      <c r="G251" t="s">
        <v>19</v>
      </c>
      <c r="H251">
        <v>170000</v>
      </c>
      <c r="I251" t="s">
        <v>29</v>
      </c>
      <c r="J251">
        <v>100</v>
      </c>
      <c r="K251" t="s">
        <v>29</v>
      </c>
      <c r="L251" t="s">
        <v>25</v>
      </c>
    </row>
    <row r="252" spans="1:12" ht="14.25" x14ac:dyDescent="0.2">
      <c r="A252">
        <v>250</v>
      </c>
      <c r="B252">
        <v>2021</v>
      </c>
      <c r="C252" t="s">
        <v>11</v>
      </c>
      <c r="D252" t="s">
        <v>12</v>
      </c>
      <c r="E252" t="s">
        <v>13</v>
      </c>
      <c r="F252">
        <v>115000</v>
      </c>
      <c r="G252" t="s">
        <v>19</v>
      </c>
      <c r="H252">
        <v>115000</v>
      </c>
      <c r="I252" t="s">
        <v>29</v>
      </c>
      <c r="J252">
        <v>50</v>
      </c>
      <c r="K252" t="s">
        <v>29</v>
      </c>
      <c r="L252" t="s">
        <v>16</v>
      </c>
    </row>
    <row r="253" spans="1:12" ht="14.25" x14ac:dyDescent="0.2">
      <c r="A253">
        <v>251</v>
      </c>
      <c r="B253">
        <v>2021</v>
      </c>
      <c r="C253" t="s">
        <v>30</v>
      </c>
      <c r="D253" t="s">
        <v>12</v>
      </c>
      <c r="E253" t="s">
        <v>13</v>
      </c>
      <c r="F253">
        <v>90000</v>
      </c>
      <c r="G253" t="s">
        <v>19</v>
      </c>
      <c r="H253">
        <v>90000</v>
      </c>
      <c r="I253" t="s">
        <v>29</v>
      </c>
      <c r="J253">
        <v>100</v>
      </c>
      <c r="K253" t="s">
        <v>29</v>
      </c>
      <c r="L253" t="s">
        <v>21</v>
      </c>
    </row>
    <row r="254" spans="1:12" ht="14.25" x14ac:dyDescent="0.2">
      <c r="A254">
        <v>252</v>
      </c>
      <c r="B254">
        <v>2021</v>
      </c>
      <c r="C254" t="s">
        <v>53</v>
      </c>
      <c r="D254" t="s">
        <v>12</v>
      </c>
      <c r="E254" t="s">
        <v>97</v>
      </c>
      <c r="F254">
        <v>600000</v>
      </c>
      <c r="G254" t="s">
        <v>19</v>
      </c>
      <c r="H254">
        <v>600000</v>
      </c>
      <c r="I254" t="s">
        <v>29</v>
      </c>
      <c r="J254">
        <v>100</v>
      </c>
      <c r="K254" t="s">
        <v>29</v>
      </c>
      <c r="L254" t="s">
        <v>16</v>
      </c>
    </row>
    <row r="255" spans="1:12" ht="14.25" x14ac:dyDescent="0.2">
      <c r="A255">
        <v>253</v>
      </c>
      <c r="B255">
        <v>2021</v>
      </c>
      <c r="C255" t="s">
        <v>30</v>
      </c>
      <c r="D255" t="s">
        <v>12</v>
      </c>
      <c r="E255" t="s">
        <v>13</v>
      </c>
      <c r="F255">
        <v>2100000</v>
      </c>
      <c r="G255" t="s">
        <v>39</v>
      </c>
      <c r="H255">
        <v>28399</v>
      </c>
      <c r="I255" t="s">
        <v>40</v>
      </c>
      <c r="J255">
        <v>100</v>
      </c>
      <c r="K255" t="s">
        <v>40</v>
      </c>
      <c r="L255" t="s">
        <v>25</v>
      </c>
    </row>
    <row r="256" spans="1:12" ht="14.25" x14ac:dyDescent="0.2">
      <c r="A256">
        <v>254</v>
      </c>
      <c r="B256">
        <v>2021</v>
      </c>
      <c r="C256" t="s">
        <v>11</v>
      </c>
      <c r="D256" t="s">
        <v>12</v>
      </c>
      <c r="E256" t="s">
        <v>31</v>
      </c>
      <c r="F256">
        <v>93000</v>
      </c>
      <c r="G256" t="s">
        <v>19</v>
      </c>
      <c r="H256">
        <v>93000</v>
      </c>
      <c r="I256" t="s">
        <v>29</v>
      </c>
      <c r="J256">
        <v>100</v>
      </c>
      <c r="K256" t="s">
        <v>29</v>
      </c>
      <c r="L256" t="s">
        <v>16</v>
      </c>
    </row>
    <row r="257" spans="1:12" ht="14.25" x14ac:dyDescent="0.2">
      <c r="A257">
        <v>255</v>
      </c>
      <c r="B257">
        <v>2021</v>
      </c>
      <c r="C257" t="s">
        <v>17</v>
      </c>
      <c r="D257" t="s">
        <v>12</v>
      </c>
      <c r="E257" t="s">
        <v>125</v>
      </c>
      <c r="F257">
        <v>125000</v>
      </c>
      <c r="G257" t="s">
        <v>61</v>
      </c>
      <c r="H257">
        <v>99703</v>
      </c>
      <c r="I257" t="s">
        <v>62</v>
      </c>
      <c r="J257">
        <v>50</v>
      </c>
      <c r="K257" t="s">
        <v>62</v>
      </c>
      <c r="L257" t="s">
        <v>25</v>
      </c>
    </row>
    <row r="258" spans="1:12" ht="14.25" x14ac:dyDescent="0.2">
      <c r="A258">
        <v>256</v>
      </c>
      <c r="B258">
        <v>2021</v>
      </c>
      <c r="C258" t="s">
        <v>11</v>
      </c>
      <c r="D258" t="s">
        <v>12</v>
      </c>
      <c r="E258" t="s">
        <v>43</v>
      </c>
      <c r="F258">
        <v>200000</v>
      </c>
      <c r="G258" t="s">
        <v>19</v>
      </c>
      <c r="H258">
        <v>200000</v>
      </c>
      <c r="I258" t="s">
        <v>29</v>
      </c>
      <c r="J258">
        <v>100</v>
      </c>
      <c r="K258" t="s">
        <v>29</v>
      </c>
      <c r="L258" t="s">
        <v>16</v>
      </c>
    </row>
    <row r="259" spans="1:12" ht="14.25" x14ac:dyDescent="0.2">
      <c r="A259">
        <v>257</v>
      </c>
      <c r="B259">
        <v>2021</v>
      </c>
      <c r="C259" t="s">
        <v>17</v>
      </c>
      <c r="D259" t="s">
        <v>12</v>
      </c>
      <c r="E259" t="s">
        <v>76</v>
      </c>
      <c r="F259">
        <v>147000</v>
      </c>
      <c r="G259" t="s">
        <v>14</v>
      </c>
      <c r="H259">
        <v>173762</v>
      </c>
      <c r="I259" t="s">
        <v>15</v>
      </c>
      <c r="J259">
        <v>100</v>
      </c>
      <c r="K259" t="s">
        <v>15</v>
      </c>
      <c r="L259" t="s">
        <v>25</v>
      </c>
    </row>
    <row r="260" spans="1:12" ht="14.25" x14ac:dyDescent="0.2">
      <c r="A260">
        <v>258</v>
      </c>
      <c r="B260">
        <v>2021</v>
      </c>
      <c r="C260" t="s">
        <v>17</v>
      </c>
      <c r="D260" t="s">
        <v>12</v>
      </c>
      <c r="E260" t="s">
        <v>28</v>
      </c>
      <c r="F260">
        <v>185000</v>
      </c>
      <c r="G260" t="s">
        <v>19</v>
      </c>
      <c r="H260">
        <v>185000</v>
      </c>
      <c r="I260" t="s">
        <v>29</v>
      </c>
      <c r="J260">
        <v>50</v>
      </c>
      <c r="K260" t="s">
        <v>29</v>
      </c>
      <c r="L260" t="s">
        <v>16</v>
      </c>
    </row>
    <row r="261" spans="1:12" ht="14.25" x14ac:dyDescent="0.2">
      <c r="A261">
        <v>259</v>
      </c>
      <c r="B261">
        <v>2021</v>
      </c>
      <c r="C261" t="s">
        <v>53</v>
      </c>
      <c r="D261" t="s">
        <v>12</v>
      </c>
      <c r="E261" t="s">
        <v>54</v>
      </c>
      <c r="F261">
        <v>120000</v>
      </c>
      <c r="G261" t="s">
        <v>14</v>
      </c>
      <c r="H261">
        <v>141846</v>
      </c>
      <c r="I261" t="s">
        <v>15</v>
      </c>
      <c r="J261">
        <v>0</v>
      </c>
      <c r="K261" t="s">
        <v>15</v>
      </c>
      <c r="L261" t="s">
        <v>16</v>
      </c>
    </row>
    <row r="262" spans="1:12" ht="14.25" x14ac:dyDescent="0.2">
      <c r="A262">
        <v>260</v>
      </c>
      <c r="B262">
        <v>2021</v>
      </c>
      <c r="C262" t="s">
        <v>11</v>
      </c>
      <c r="D262" t="s">
        <v>12</v>
      </c>
      <c r="E262" t="s">
        <v>13</v>
      </c>
      <c r="F262">
        <v>130000</v>
      </c>
      <c r="G262" t="s">
        <v>19</v>
      </c>
      <c r="H262">
        <v>130000</v>
      </c>
      <c r="I262" t="s">
        <v>29</v>
      </c>
      <c r="J262">
        <v>50</v>
      </c>
      <c r="K262" t="s">
        <v>29</v>
      </c>
      <c r="L262" t="s">
        <v>16</v>
      </c>
    </row>
    <row r="263" spans="1:12" ht="14.25" x14ac:dyDescent="0.2">
      <c r="A263">
        <v>261</v>
      </c>
      <c r="B263">
        <v>2021</v>
      </c>
      <c r="C263" t="s">
        <v>17</v>
      </c>
      <c r="D263" t="s">
        <v>12</v>
      </c>
      <c r="E263" t="s">
        <v>31</v>
      </c>
      <c r="F263">
        <v>54000</v>
      </c>
      <c r="G263" t="s">
        <v>14</v>
      </c>
      <c r="H263">
        <v>63831</v>
      </c>
      <c r="I263" t="s">
        <v>15</v>
      </c>
      <c r="J263">
        <v>50</v>
      </c>
      <c r="K263" t="s">
        <v>15</v>
      </c>
      <c r="L263" t="s">
        <v>16</v>
      </c>
    </row>
    <row r="264" spans="1:12" ht="14.25" x14ac:dyDescent="0.2">
      <c r="A264">
        <v>262</v>
      </c>
      <c r="B264">
        <v>2021</v>
      </c>
      <c r="C264" t="s">
        <v>11</v>
      </c>
      <c r="D264" t="s">
        <v>12</v>
      </c>
      <c r="E264" t="s">
        <v>13</v>
      </c>
      <c r="F264">
        <v>1250000</v>
      </c>
      <c r="G264" t="s">
        <v>39</v>
      </c>
      <c r="H264">
        <v>16904</v>
      </c>
      <c r="I264" t="s">
        <v>40</v>
      </c>
      <c r="J264">
        <v>100</v>
      </c>
      <c r="K264" t="s">
        <v>40</v>
      </c>
      <c r="L264" t="s">
        <v>21</v>
      </c>
    </row>
    <row r="265" spans="1:12" ht="14.25" x14ac:dyDescent="0.2">
      <c r="A265">
        <v>263</v>
      </c>
      <c r="B265">
        <v>2021</v>
      </c>
      <c r="C265" t="s">
        <v>17</v>
      </c>
      <c r="D265" t="s">
        <v>12</v>
      </c>
      <c r="E265" t="s">
        <v>28</v>
      </c>
      <c r="F265">
        <v>4900000</v>
      </c>
      <c r="G265" t="s">
        <v>39</v>
      </c>
      <c r="H265">
        <v>66265</v>
      </c>
      <c r="I265" t="s">
        <v>40</v>
      </c>
      <c r="J265">
        <v>0</v>
      </c>
      <c r="K265" t="s">
        <v>40</v>
      </c>
      <c r="L265" t="s">
        <v>16</v>
      </c>
    </row>
    <row r="266" spans="1:12" ht="14.25" x14ac:dyDescent="0.2">
      <c r="A266">
        <v>264</v>
      </c>
      <c r="B266">
        <v>2021</v>
      </c>
      <c r="C266" t="s">
        <v>11</v>
      </c>
      <c r="D266" t="s">
        <v>12</v>
      </c>
      <c r="E266" t="s">
        <v>13</v>
      </c>
      <c r="F266">
        <v>21600</v>
      </c>
      <c r="G266" t="s">
        <v>14</v>
      </c>
      <c r="H266">
        <v>25532</v>
      </c>
      <c r="I266" t="s">
        <v>126</v>
      </c>
      <c r="J266">
        <v>100</v>
      </c>
      <c r="K266" t="s">
        <v>15</v>
      </c>
      <c r="L266" t="s">
        <v>21</v>
      </c>
    </row>
    <row r="267" spans="1:12" ht="14.25" x14ac:dyDescent="0.2">
      <c r="A267">
        <v>265</v>
      </c>
      <c r="B267">
        <v>2021</v>
      </c>
      <c r="C267" t="s">
        <v>17</v>
      </c>
      <c r="D267" t="s">
        <v>12</v>
      </c>
      <c r="E267" t="s">
        <v>36</v>
      </c>
      <c r="F267">
        <v>160000</v>
      </c>
      <c r="G267" t="s">
        <v>19</v>
      </c>
      <c r="H267">
        <v>160000</v>
      </c>
      <c r="I267" t="s">
        <v>127</v>
      </c>
      <c r="J267">
        <v>50</v>
      </c>
      <c r="K267" t="s">
        <v>29</v>
      </c>
      <c r="L267" t="s">
        <v>21</v>
      </c>
    </row>
    <row r="268" spans="1:12" ht="14.25" x14ac:dyDescent="0.2">
      <c r="A268">
        <v>266</v>
      </c>
      <c r="B268">
        <v>2021</v>
      </c>
      <c r="C268" t="s">
        <v>11</v>
      </c>
      <c r="D268" t="s">
        <v>12</v>
      </c>
      <c r="E268" t="s">
        <v>43</v>
      </c>
      <c r="F268">
        <v>93150</v>
      </c>
      <c r="G268" t="s">
        <v>19</v>
      </c>
      <c r="H268">
        <v>93150</v>
      </c>
      <c r="I268" t="s">
        <v>29</v>
      </c>
      <c r="J268">
        <v>0</v>
      </c>
      <c r="K268" t="s">
        <v>29</v>
      </c>
      <c r="L268" t="s">
        <v>25</v>
      </c>
    </row>
    <row r="269" spans="1:12" ht="14.25" x14ac:dyDescent="0.2">
      <c r="A269">
        <v>267</v>
      </c>
      <c r="B269">
        <v>2021</v>
      </c>
      <c r="C269" t="s">
        <v>11</v>
      </c>
      <c r="D269" t="s">
        <v>12</v>
      </c>
      <c r="E269" t="s">
        <v>43</v>
      </c>
      <c r="F269">
        <v>111775</v>
      </c>
      <c r="G269" t="s">
        <v>19</v>
      </c>
      <c r="H269">
        <v>111775</v>
      </c>
      <c r="I269" t="s">
        <v>29</v>
      </c>
      <c r="J269">
        <v>0</v>
      </c>
      <c r="K269" t="s">
        <v>29</v>
      </c>
      <c r="L269" t="s">
        <v>25</v>
      </c>
    </row>
    <row r="270" spans="1:12" ht="14.25" x14ac:dyDescent="0.2">
      <c r="A270">
        <v>268</v>
      </c>
      <c r="B270">
        <v>2021</v>
      </c>
      <c r="C270" t="s">
        <v>11</v>
      </c>
      <c r="D270" t="s">
        <v>12</v>
      </c>
      <c r="E270" t="s">
        <v>43</v>
      </c>
      <c r="F270">
        <v>250000</v>
      </c>
      <c r="G270" t="s">
        <v>122</v>
      </c>
      <c r="H270">
        <v>28016</v>
      </c>
      <c r="I270" t="s">
        <v>123</v>
      </c>
      <c r="J270">
        <v>100</v>
      </c>
      <c r="K270" t="s">
        <v>123</v>
      </c>
      <c r="L270" t="s">
        <v>25</v>
      </c>
    </row>
    <row r="271" spans="1:12" ht="14.25" x14ac:dyDescent="0.2">
      <c r="A271">
        <v>269</v>
      </c>
      <c r="B271">
        <v>2021</v>
      </c>
      <c r="C271" t="s">
        <v>30</v>
      </c>
      <c r="D271" t="s">
        <v>12</v>
      </c>
      <c r="E271" t="s">
        <v>43</v>
      </c>
      <c r="F271">
        <v>55000</v>
      </c>
      <c r="G271" t="s">
        <v>14</v>
      </c>
      <c r="H271">
        <v>65013</v>
      </c>
      <c r="I271" t="s">
        <v>15</v>
      </c>
      <c r="J271">
        <v>50</v>
      </c>
      <c r="K271" t="s">
        <v>15</v>
      </c>
      <c r="L271" t="s">
        <v>25</v>
      </c>
    </row>
    <row r="272" spans="1:12" ht="14.25" x14ac:dyDescent="0.2">
      <c r="A272">
        <v>270</v>
      </c>
      <c r="B272">
        <v>2021</v>
      </c>
      <c r="C272" t="s">
        <v>30</v>
      </c>
      <c r="D272" t="s">
        <v>12</v>
      </c>
      <c r="E272" t="s">
        <v>43</v>
      </c>
      <c r="F272">
        <v>72500</v>
      </c>
      <c r="G272" t="s">
        <v>19</v>
      </c>
      <c r="H272">
        <v>72500</v>
      </c>
      <c r="I272" t="s">
        <v>29</v>
      </c>
      <c r="J272">
        <v>100</v>
      </c>
      <c r="K272" t="s">
        <v>29</v>
      </c>
      <c r="L272" t="s">
        <v>16</v>
      </c>
    </row>
    <row r="273" spans="1:12" ht="14.25" x14ac:dyDescent="0.2">
      <c r="A273">
        <v>271</v>
      </c>
      <c r="B273">
        <v>2021</v>
      </c>
      <c r="C273" t="s">
        <v>17</v>
      </c>
      <c r="D273" t="s">
        <v>12</v>
      </c>
      <c r="E273" t="s">
        <v>74</v>
      </c>
      <c r="F273">
        <v>102000</v>
      </c>
      <c r="G273" t="s">
        <v>117</v>
      </c>
      <c r="H273">
        <v>18907</v>
      </c>
      <c r="I273" t="s">
        <v>91</v>
      </c>
      <c r="J273">
        <v>0</v>
      </c>
      <c r="K273" t="s">
        <v>91</v>
      </c>
      <c r="L273" t="s">
        <v>25</v>
      </c>
    </row>
    <row r="274" spans="1:12" ht="14.25" x14ac:dyDescent="0.2">
      <c r="A274">
        <v>272</v>
      </c>
      <c r="B274">
        <v>2021</v>
      </c>
      <c r="C274" t="s">
        <v>30</v>
      </c>
      <c r="D274" t="s">
        <v>12</v>
      </c>
      <c r="E274" t="s">
        <v>46</v>
      </c>
      <c r="F274">
        <v>65000</v>
      </c>
      <c r="G274" t="s">
        <v>14</v>
      </c>
      <c r="H274">
        <v>76833</v>
      </c>
      <c r="I274" t="s">
        <v>15</v>
      </c>
      <c r="J274">
        <v>0</v>
      </c>
      <c r="K274" t="s">
        <v>15</v>
      </c>
      <c r="L274" t="s">
        <v>16</v>
      </c>
    </row>
    <row r="275" spans="1:12" ht="14.25" x14ac:dyDescent="0.2">
      <c r="A275">
        <v>273</v>
      </c>
      <c r="B275">
        <v>2021</v>
      </c>
      <c r="C275" t="s">
        <v>30</v>
      </c>
      <c r="D275" t="s">
        <v>12</v>
      </c>
      <c r="E275" t="s">
        <v>28</v>
      </c>
      <c r="F275">
        <v>85000</v>
      </c>
      <c r="G275" t="s">
        <v>19</v>
      </c>
      <c r="H275">
        <v>85000</v>
      </c>
      <c r="I275" t="s">
        <v>56</v>
      </c>
      <c r="J275">
        <v>100</v>
      </c>
      <c r="K275" t="s">
        <v>15</v>
      </c>
      <c r="L275" t="s">
        <v>21</v>
      </c>
    </row>
    <row r="276" spans="1:12" ht="14.25" x14ac:dyDescent="0.2">
      <c r="A276">
        <v>274</v>
      </c>
      <c r="B276">
        <v>2021</v>
      </c>
      <c r="C276" t="s">
        <v>17</v>
      </c>
      <c r="D276" t="s">
        <v>12</v>
      </c>
      <c r="E276" t="s">
        <v>13</v>
      </c>
      <c r="F276">
        <v>65720</v>
      </c>
      <c r="G276" t="s">
        <v>14</v>
      </c>
      <c r="H276">
        <v>77684</v>
      </c>
      <c r="I276" t="s">
        <v>38</v>
      </c>
      <c r="J276">
        <v>50</v>
      </c>
      <c r="K276" t="s">
        <v>38</v>
      </c>
      <c r="L276" t="s">
        <v>25</v>
      </c>
    </row>
    <row r="277" spans="1:12" ht="14.25" x14ac:dyDescent="0.2">
      <c r="A277">
        <v>275</v>
      </c>
      <c r="B277">
        <v>2021</v>
      </c>
      <c r="C277" t="s">
        <v>30</v>
      </c>
      <c r="D277" t="s">
        <v>12</v>
      </c>
      <c r="E277" t="s">
        <v>13</v>
      </c>
      <c r="F277">
        <v>100000</v>
      </c>
      <c r="G277" t="s">
        <v>19</v>
      </c>
      <c r="H277">
        <v>100000</v>
      </c>
      <c r="I277" t="s">
        <v>29</v>
      </c>
      <c r="J277">
        <v>100</v>
      </c>
      <c r="K277" t="s">
        <v>29</v>
      </c>
      <c r="L277" t="s">
        <v>25</v>
      </c>
    </row>
    <row r="278" spans="1:12" ht="14.25" x14ac:dyDescent="0.2">
      <c r="A278">
        <v>276</v>
      </c>
      <c r="B278">
        <v>2021</v>
      </c>
      <c r="C278" t="s">
        <v>30</v>
      </c>
      <c r="D278" t="s">
        <v>12</v>
      </c>
      <c r="E278" t="s">
        <v>13</v>
      </c>
      <c r="F278">
        <v>58000</v>
      </c>
      <c r="G278" t="s">
        <v>19</v>
      </c>
      <c r="H278">
        <v>58000</v>
      </c>
      <c r="I278" t="s">
        <v>29</v>
      </c>
      <c r="J278">
        <v>50</v>
      </c>
      <c r="K278" t="s">
        <v>29</v>
      </c>
      <c r="L278" t="s">
        <v>16</v>
      </c>
    </row>
    <row r="279" spans="1:12" ht="14.25" x14ac:dyDescent="0.2">
      <c r="A279">
        <v>277</v>
      </c>
      <c r="B279">
        <v>2021</v>
      </c>
      <c r="C279" t="s">
        <v>17</v>
      </c>
      <c r="D279" t="s">
        <v>12</v>
      </c>
      <c r="E279" t="s">
        <v>70</v>
      </c>
      <c r="F279">
        <v>55000</v>
      </c>
      <c r="G279" t="s">
        <v>19</v>
      </c>
      <c r="H279">
        <v>55000</v>
      </c>
      <c r="I279" t="s">
        <v>67</v>
      </c>
      <c r="J279">
        <v>100</v>
      </c>
      <c r="K279" t="s">
        <v>67</v>
      </c>
      <c r="L279" t="s">
        <v>16</v>
      </c>
    </row>
    <row r="280" spans="1:12" ht="14.25" x14ac:dyDescent="0.2">
      <c r="A280">
        <v>278</v>
      </c>
      <c r="B280">
        <v>2021</v>
      </c>
      <c r="C280" t="s">
        <v>17</v>
      </c>
      <c r="D280" t="s">
        <v>12</v>
      </c>
      <c r="E280" t="s">
        <v>13</v>
      </c>
      <c r="F280">
        <v>180000</v>
      </c>
      <c r="G280" t="s">
        <v>122</v>
      </c>
      <c r="H280">
        <v>20171</v>
      </c>
      <c r="I280" t="s">
        <v>123</v>
      </c>
      <c r="J280">
        <v>50</v>
      </c>
      <c r="K280" t="s">
        <v>123</v>
      </c>
      <c r="L280" t="s">
        <v>16</v>
      </c>
    </row>
    <row r="281" spans="1:12" ht="14.25" x14ac:dyDescent="0.2">
      <c r="A281">
        <v>279</v>
      </c>
      <c r="B281">
        <v>2021</v>
      </c>
      <c r="C281" t="s">
        <v>30</v>
      </c>
      <c r="D281" t="s">
        <v>12</v>
      </c>
      <c r="E281" t="s">
        <v>35</v>
      </c>
      <c r="F281">
        <v>50000</v>
      </c>
      <c r="G281" t="s">
        <v>14</v>
      </c>
      <c r="H281">
        <v>59102</v>
      </c>
      <c r="I281" t="s">
        <v>80</v>
      </c>
      <c r="J281">
        <v>100</v>
      </c>
      <c r="K281" t="s">
        <v>80</v>
      </c>
      <c r="L281" t="s">
        <v>16</v>
      </c>
    </row>
    <row r="282" spans="1:12" ht="14.25" x14ac:dyDescent="0.2">
      <c r="A282">
        <v>280</v>
      </c>
      <c r="B282">
        <v>2021</v>
      </c>
      <c r="C282" t="s">
        <v>11</v>
      </c>
      <c r="D282" t="s">
        <v>12</v>
      </c>
      <c r="E282" t="s">
        <v>43</v>
      </c>
      <c r="F282">
        <v>112000</v>
      </c>
      <c r="G282" t="s">
        <v>19</v>
      </c>
      <c r="H282">
        <v>112000</v>
      </c>
      <c r="I282" t="s">
        <v>29</v>
      </c>
      <c r="J282">
        <v>100</v>
      </c>
      <c r="K282" t="s">
        <v>29</v>
      </c>
      <c r="L282" t="s">
        <v>16</v>
      </c>
    </row>
    <row r="283" spans="1:12" ht="14.25" x14ac:dyDescent="0.2">
      <c r="A283">
        <v>281</v>
      </c>
      <c r="B283">
        <v>2021</v>
      </c>
      <c r="C283" t="s">
        <v>30</v>
      </c>
      <c r="D283" t="s">
        <v>12</v>
      </c>
      <c r="E283" t="s">
        <v>55</v>
      </c>
      <c r="F283">
        <v>100000</v>
      </c>
      <c r="G283" t="s">
        <v>19</v>
      </c>
      <c r="H283">
        <v>100000</v>
      </c>
      <c r="I283" t="s">
        <v>128</v>
      </c>
      <c r="J283">
        <v>0</v>
      </c>
      <c r="K283" t="s">
        <v>49</v>
      </c>
      <c r="L283" t="s">
        <v>16</v>
      </c>
    </row>
    <row r="284" spans="1:12" ht="14.25" x14ac:dyDescent="0.2">
      <c r="A284">
        <v>282</v>
      </c>
      <c r="B284">
        <v>2021</v>
      </c>
      <c r="C284" t="s">
        <v>11</v>
      </c>
      <c r="D284" t="s">
        <v>47</v>
      </c>
      <c r="E284" t="s">
        <v>43</v>
      </c>
      <c r="F284">
        <v>59000</v>
      </c>
      <c r="G284" t="s">
        <v>14</v>
      </c>
      <c r="H284">
        <v>69741</v>
      </c>
      <c r="I284" t="s">
        <v>56</v>
      </c>
      <c r="J284">
        <v>100</v>
      </c>
      <c r="K284" t="s">
        <v>56</v>
      </c>
      <c r="L284" t="s">
        <v>16</v>
      </c>
    </row>
    <row r="285" spans="1:12" ht="14.25" x14ac:dyDescent="0.2">
      <c r="A285">
        <v>283</v>
      </c>
      <c r="B285">
        <v>2021</v>
      </c>
      <c r="C285" t="s">
        <v>17</v>
      </c>
      <c r="D285" t="s">
        <v>59</v>
      </c>
      <c r="E285" t="s">
        <v>129</v>
      </c>
      <c r="F285">
        <v>105000</v>
      </c>
      <c r="G285" t="s">
        <v>19</v>
      </c>
      <c r="H285">
        <v>105000</v>
      </c>
      <c r="I285" t="s">
        <v>29</v>
      </c>
      <c r="J285">
        <v>100</v>
      </c>
      <c r="K285" t="s">
        <v>29</v>
      </c>
      <c r="L285" t="s">
        <v>25</v>
      </c>
    </row>
    <row r="286" spans="1:12" ht="14.25" x14ac:dyDescent="0.2">
      <c r="A286">
        <v>284</v>
      </c>
      <c r="B286">
        <v>2021</v>
      </c>
      <c r="C286" t="s">
        <v>11</v>
      </c>
      <c r="D286" t="s">
        <v>12</v>
      </c>
      <c r="E286" t="s">
        <v>55</v>
      </c>
      <c r="F286">
        <v>69999</v>
      </c>
      <c r="G286" t="s">
        <v>19</v>
      </c>
      <c r="H286">
        <v>69999</v>
      </c>
      <c r="I286" t="s">
        <v>130</v>
      </c>
      <c r="J286">
        <v>50</v>
      </c>
      <c r="K286" t="s">
        <v>130</v>
      </c>
      <c r="L286" t="s">
        <v>16</v>
      </c>
    </row>
    <row r="287" spans="1:12" ht="14.25" x14ac:dyDescent="0.2">
      <c r="A287">
        <v>285</v>
      </c>
      <c r="B287">
        <v>2021</v>
      </c>
      <c r="C287" t="s">
        <v>17</v>
      </c>
      <c r="D287" t="s">
        <v>12</v>
      </c>
      <c r="E287" t="s">
        <v>79</v>
      </c>
      <c r="F287">
        <v>7000000</v>
      </c>
      <c r="G287" t="s">
        <v>39</v>
      </c>
      <c r="H287">
        <v>94665</v>
      </c>
      <c r="I287" t="s">
        <v>40</v>
      </c>
      <c r="J287">
        <v>50</v>
      </c>
      <c r="K287" t="s">
        <v>40</v>
      </c>
      <c r="L287" t="s">
        <v>16</v>
      </c>
    </row>
    <row r="288" spans="1:12" ht="14.25" x14ac:dyDescent="0.2">
      <c r="A288">
        <v>286</v>
      </c>
      <c r="B288">
        <v>2021</v>
      </c>
      <c r="C288" t="s">
        <v>17</v>
      </c>
      <c r="D288" t="s">
        <v>12</v>
      </c>
      <c r="E288" t="s">
        <v>81</v>
      </c>
      <c r="F288">
        <v>87000</v>
      </c>
      <c r="G288" t="s">
        <v>14</v>
      </c>
      <c r="H288">
        <v>102839</v>
      </c>
      <c r="I288" t="s">
        <v>118</v>
      </c>
      <c r="J288">
        <v>100</v>
      </c>
      <c r="K288" t="s">
        <v>118</v>
      </c>
      <c r="L288" t="s">
        <v>16</v>
      </c>
    </row>
    <row r="289" spans="1:12" ht="14.25" x14ac:dyDescent="0.2">
      <c r="A289">
        <v>287</v>
      </c>
      <c r="B289">
        <v>2021</v>
      </c>
      <c r="C289" t="s">
        <v>11</v>
      </c>
      <c r="D289" t="s">
        <v>12</v>
      </c>
      <c r="E289" t="s">
        <v>13</v>
      </c>
      <c r="F289">
        <v>109000</v>
      </c>
      <c r="G289" t="s">
        <v>19</v>
      </c>
      <c r="H289">
        <v>109000</v>
      </c>
      <c r="I289" t="s">
        <v>29</v>
      </c>
      <c r="J289">
        <v>50</v>
      </c>
      <c r="K289" t="s">
        <v>29</v>
      </c>
      <c r="L289" t="s">
        <v>16</v>
      </c>
    </row>
    <row r="290" spans="1:12" ht="14.25" x14ac:dyDescent="0.2">
      <c r="A290">
        <v>288</v>
      </c>
      <c r="B290">
        <v>2021</v>
      </c>
      <c r="C290" t="s">
        <v>11</v>
      </c>
      <c r="D290" t="s">
        <v>12</v>
      </c>
      <c r="E290" t="s">
        <v>28</v>
      </c>
      <c r="F290">
        <v>43200</v>
      </c>
      <c r="G290" t="s">
        <v>14</v>
      </c>
      <c r="H290">
        <v>51064</v>
      </c>
      <c r="I290" t="s">
        <v>77</v>
      </c>
      <c r="J290">
        <v>50</v>
      </c>
      <c r="K290" t="s">
        <v>77</v>
      </c>
      <c r="L290" t="s">
        <v>16</v>
      </c>
    </row>
    <row r="291" spans="1:12" ht="14.25" x14ac:dyDescent="0.2">
      <c r="A291">
        <v>289</v>
      </c>
      <c r="B291">
        <v>2022</v>
      </c>
      <c r="C291" t="s">
        <v>17</v>
      </c>
      <c r="D291" t="s">
        <v>12</v>
      </c>
      <c r="E291" t="s">
        <v>43</v>
      </c>
      <c r="F291">
        <v>135000</v>
      </c>
      <c r="G291" t="s">
        <v>19</v>
      </c>
      <c r="H291">
        <v>135000</v>
      </c>
      <c r="I291" t="s">
        <v>29</v>
      </c>
      <c r="J291">
        <v>100</v>
      </c>
      <c r="K291" t="s">
        <v>29</v>
      </c>
      <c r="L291" t="s">
        <v>25</v>
      </c>
    </row>
    <row r="292" spans="1:12" ht="14.25" x14ac:dyDescent="0.2">
      <c r="A292">
        <v>290</v>
      </c>
      <c r="B292">
        <v>2022</v>
      </c>
      <c r="C292" t="s">
        <v>17</v>
      </c>
      <c r="D292" t="s">
        <v>12</v>
      </c>
      <c r="E292" t="s">
        <v>31</v>
      </c>
      <c r="F292">
        <v>155000</v>
      </c>
      <c r="G292" t="s">
        <v>19</v>
      </c>
      <c r="H292">
        <v>155000</v>
      </c>
      <c r="I292" t="s">
        <v>29</v>
      </c>
      <c r="J292">
        <v>100</v>
      </c>
      <c r="K292" t="s">
        <v>29</v>
      </c>
      <c r="L292" t="s">
        <v>25</v>
      </c>
    </row>
    <row r="293" spans="1:12" ht="14.25" x14ac:dyDescent="0.2">
      <c r="A293">
        <v>291</v>
      </c>
      <c r="B293">
        <v>2022</v>
      </c>
      <c r="C293" t="s">
        <v>17</v>
      </c>
      <c r="D293" t="s">
        <v>12</v>
      </c>
      <c r="E293" t="s">
        <v>31</v>
      </c>
      <c r="F293">
        <v>120600</v>
      </c>
      <c r="G293" t="s">
        <v>19</v>
      </c>
      <c r="H293">
        <v>120600</v>
      </c>
      <c r="I293" t="s">
        <v>29</v>
      </c>
      <c r="J293">
        <v>100</v>
      </c>
      <c r="K293" t="s">
        <v>29</v>
      </c>
      <c r="L293" t="s">
        <v>25</v>
      </c>
    </row>
    <row r="294" spans="1:12" ht="14.25" x14ac:dyDescent="0.2">
      <c r="A294">
        <v>292</v>
      </c>
      <c r="B294">
        <v>2022</v>
      </c>
      <c r="C294" t="s">
        <v>11</v>
      </c>
      <c r="D294" t="s">
        <v>12</v>
      </c>
      <c r="E294" t="s">
        <v>13</v>
      </c>
      <c r="F294">
        <v>130000</v>
      </c>
      <c r="G294" t="s">
        <v>19</v>
      </c>
      <c r="H294">
        <v>130000</v>
      </c>
      <c r="I294" t="s">
        <v>29</v>
      </c>
      <c r="J294">
        <v>0</v>
      </c>
      <c r="K294" t="s">
        <v>29</v>
      </c>
      <c r="L294" t="s">
        <v>25</v>
      </c>
    </row>
    <row r="295" spans="1:12" ht="14.25" x14ac:dyDescent="0.2">
      <c r="A295">
        <v>293</v>
      </c>
      <c r="B295">
        <v>2022</v>
      </c>
      <c r="C295" t="s">
        <v>11</v>
      </c>
      <c r="D295" t="s">
        <v>12</v>
      </c>
      <c r="E295" t="s">
        <v>13</v>
      </c>
      <c r="F295">
        <v>90000</v>
      </c>
      <c r="G295" t="s">
        <v>19</v>
      </c>
      <c r="H295">
        <v>90000</v>
      </c>
      <c r="I295" t="s">
        <v>29</v>
      </c>
      <c r="J295">
        <v>0</v>
      </c>
      <c r="K295" t="s">
        <v>29</v>
      </c>
      <c r="L295" t="s">
        <v>25</v>
      </c>
    </row>
    <row r="296" spans="1:12" ht="14.25" x14ac:dyDescent="0.2">
      <c r="A296">
        <v>294</v>
      </c>
      <c r="B296">
        <v>2022</v>
      </c>
      <c r="C296" t="s">
        <v>11</v>
      </c>
      <c r="D296" t="s">
        <v>12</v>
      </c>
      <c r="E296" t="s">
        <v>43</v>
      </c>
      <c r="F296">
        <v>170000</v>
      </c>
      <c r="G296" t="s">
        <v>19</v>
      </c>
      <c r="H296">
        <v>170000</v>
      </c>
      <c r="I296" t="s">
        <v>29</v>
      </c>
      <c r="J296">
        <v>100</v>
      </c>
      <c r="K296" t="s">
        <v>29</v>
      </c>
      <c r="L296" t="s">
        <v>25</v>
      </c>
    </row>
    <row r="297" spans="1:12" ht="14.25" x14ac:dyDescent="0.2">
      <c r="A297">
        <v>295</v>
      </c>
      <c r="B297">
        <v>2022</v>
      </c>
      <c r="C297" t="s">
        <v>11</v>
      </c>
      <c r="D297" t="s">
        <v>12</v>
      </c>
      <c r="E297" t="s">
        <v>43</v>
      </c>
      <c r="F297">
        <v>150000</v>
      </c>
      <c r="G297" t="s">
        <v>19</v>
      </c>
      <c r="H297">
        <v>150000</v>
      </c>
      <c r="I297" t="s">
        <v>29</v>
      </c>
      <c r="J297">
        <v>100</v>
      </c>
      <c r="K297" t="s">
        <v>29</v>
      </c>
      <c r="L297" t="s">
        <v>25</v>
      </c>
    </row>
    <row r="298" spans="1:12" ht="14.25" x14ac:dyDescent="0.2">
      <c r="A298">
        <v>296</v>
      </c>
      <c r="B298">
        <v>2022</v>
      </c>
      <c r="C298" t="s">
        <v>17</v>
      </c>
      <c r="D298" t="s">
        <v>12</v>
      </c>
      <c r="E298" t="s">
        <v>31</v>
      </c>
      <c r="F298">
        <v>102100</v>
      </c>
      <c r="G298" t="s">
        <v>19</v>
      </c>
      <c r="H298">
        <v>102100</v>
      </c>
      <c r="I298" t="s">
        <v>29</v>
      </c>
      <c r="J298">
        <v>100</v>
      </c>
      <c r="K298" t="s">
        <v>29</v>
      </c>
      <c r="L298" t="s">
        <v>25</v>
      </c>
    </row>
    <row r="299" spans="1:12" ht="14.25" x14ac:dyDescent="0.2">
      <c r="A299">
        <v>297</v>
      </c>
      <c r="B299">
        <v>2022</v>
      </c>
      <c r="C299" t="s">
        <v>17</v>
      </c>
      <c r="D299" t="s">
        <v>12</v>
      </c>
      <c r="E299" t="s">
        <v>31</v>
      </c>
      <c r="F299">
        <v>84900</v>
      </c>
      <c r="G299" t="s">
        <v>19</v>
      </c>
      <c r="H299">
        <v>84900</v>
      </c>
      <c r="I299" t="s">
        <v>29</v>
      </c>
      <c r="J299">
        <v>100</v>
      </c>
      <c r="K299" t="s">
        <v>29</v>
      </c>
      <c r="L299" t="s">
        <v>25</v>
      </c>
    </row>
    <row r="300" spans="1:12" ht="14.25" x14ac:dyDescent="0.2">
      <c r="A300">
        <v>298</v>
      </c>
      <c r="B300">
        <v>2022</v>
      </c>
      <c r="C300" t="s">
        <v>17</v>
      </c>
      <c r="D300" t="s">
        <v>12</v>
      </c>
      <c r="E300" t="s">
        <v>13</v>
      </c>
      <c r="F300">
        <v>136620</v>
      </c>
      <c r="G300" t="s">
        <v>19</v>
      </c>
      <c r="H300">
        <v>136620</v>
      </c>
      <c r="I300" t="s">
        <v>29</v>
      </c>
      <c r="J300">
        <v>100</v>
      </c>
      <c r="K300" t="s">
        <v>29</v>
      </c>
      <c r="L300" t="s">
        <v>25</v>
      </c>
    </row>
    <row r="301" spans="1:12" ht="14.25" x14ac:dyDescent="0.2">
      <c r="A301">
        <v>299</v>
      </c>
      <c r="B301">
        <v>2022</v>
      </c>
      <c r="C301" t="s">
        <v>17</v>
      </c>
      <c r="D301" t="s">
        <v>12</v>
      </c>
      <c r="E301" t="s">
        <v>13</v>
      </c>
      <c r="F301">
        <v>99360</v>
      </c>
      <c r="G301" t="s">
        <v>19</v>
      </c>
      <c r="H301">
        <v>99360</v>
      </c>
      <c r="I301" t="s">
        <v>29</v>
      </c>
      <c r="J301">
        <v>100</v>
      </c>
      <c r="K301" t="s">
        <v>29</v>
      </c>
      <c r="L301" t="s">
        <v>25</v>
      </c>
    </row>
    <row r="302" spans="1:12" ht="14.25" x14ac:dyDescent="0.2">
      <c r="A302">
        <v>300</v>
      </c>
      <c r="B302">
        <v>2022</v>
      </c>
      <c r="C302" t="s">
        <v>17</v>
      </c>
      <c r="D302" t="s">
        <v>12</v>
      </c>
      <c r="E302" t="s">
        <v>13</v>
      </c>
      <c r="F302">
        <v>90000</v>
      </c>
      <c r="G302" t="s">
        <v>23</v>
      </c>
      <c r="H302">
        <v>117789</v>
      </c>
      <c r="I302" t="s">
        <v>24</v>
      </c>
      <c r="J302">
        <v>0</v>
      </c>
      <c r="K302" t="s">
        <v>24</v>
      </c>
      <c r="L302" t="s">
        <v>25</v>
      </c>
    </row>
    <row r="303" spans="1:12" ht="14.25" x14ac:dyDescent="0.2">
      <c r="A303">
        <v>301</v>
      </c>
      <c r="B303">
        <v>2022</v>
      </c>
      <c r="C303" t="s">
        <v>17</v>
      </c>
      <c r="D303" t="s">
        <v>12</v>
      </c>
      <c r="E303" t="s">
        <v>13</v>
      </c>
      <c r="F303">
        <v>80000</v>
      </c>
      <c r="G303" t="s">
        <v>23</v>
      </c>
      <c r="H303">
        <v>104702</v>
      </c>
      <c r="I303" t="s">
        <v>24</v>
      </c>
      <c r="J303">
        <v>0</v>
      </c>
      <c r="K303" t="s">
        <v>24</v>
      </c>
      <c r="L303" t="s">
        <v>25</v>
      </c>
    </row>
    <row r="304" spans="1:12" ht="14.25" x14ac:dyDescent="0.2">
      <c r="A304">
        <v>302</v>
      </c>
      <c r="B304">
        <v>2022</v>
      </c>
      <c r="C304" t="s">
        <v>17</v>
      </c>
      <c r="D304" t="s">
        <v>12</v>
      </c>
      <c r="E304" t="s">
        <v>13</v>
      </c>
      <c r="F304">
        <v>146000</v>
      </c>
      <c r="G304" t="s">
        <v>19</v>
      </c>
      <c r="H304">
        <v>146000</v>
      </c>
      <c r="I304" t="s">
        <v>29</v>
      </c>
      <c r="J304">
        <v>100</v>
      </c>
      <c r="K304" t="s">
        <v>29</v>
      </c>
      <c r="L304" t="s">
        <v>25</v>
      </c>
    </row>
    <row r="305" spans="1:12" ht="14.25" x14ac:dyDescent="0.2">
      <c r="A305">
        <v>303</v>
      </c>
      <c r="B305">
        <v>2022</v>
      </c>
      <c r="C305" t="s">
        <v>17</v>
      </c>
      <c r="D305" t="s">
        <v>12</v>
      </c>
      <c r="E305" t="s">
        <v>13</v>
      </c>
      <c r="F305">
        <v>123000</v>
      </c>
      <c r="G305" t="s">
        <v>19</v>
      </c>
      <c r="H305">
        <v>123000</v>
      </c>
      <c r="I305" t="s">
        <v>29</v>
      </c>
      <c r="J305">
        <v>100</v>
      </c>
      <c r="K305" t="s">
        <v>29</v>
      </c>
      <c r="L305" t="s">
        <v>25</v>
      </c>
    </row>
    <row r="306" spans="1:12" ht="14.25" x14ac:dyDescent="0.2">
      <c r="A306">
        <v>304</v>
      </c>
      <c r="B306">
        <v>2022</v>
      </c>
      <c r="C306" t="s">
        <v>30</v>
      </c>
      <c r="D306" t="s">
        <v>12</v>
      </c>
      <c r="E306" t="s">
        <v>43</v>
      </c>
      <c r="F306">
        <v>40000</v>
      </c>
      <c r="G306" t="s">
        <v>23</v>
      </c>
      <c r="H306">
        <v>52351</v>
      </c>
      <c r="I306" t="s">
        <v>24</v>
      </c>
      <c r="J306">
        <v>100</v>
      </c>
      <c r="K306" t="s">
        <v>24</v>
      </c>
      <c r="L306" t="s">
        <v>25</v>
      </c>
    </row>
    <row r="307" spans="1:12" ht="14.25" x14ac:dyDescent="0.2">
      <c r="A307">
        <v>305</v>
      </c>
      <c r="B307">
        <v>2022</v>
      </c>
      <c r="C307" t="s">
        <v>17</v>
      </c>
      <c r="D307" t="s">
        <v>12</v>
      </c>
      <c r="E307" t="s">
        <v>31</v>
      </c>
      <c r="F307">
        <v>99000</v>
      </c>
      <c r="G307" t="s">
        <v>19</v>
      </c>
      <c r="H307">
        <v>99000</v>
      </c>
      <c r="I307" t="s">
        <v>29</v>
      </c>
      <c r="J307">
        <v>0</v>
      </c>
      <c r="K307" t="s">
        <v>29</v>
      </c>
      <c r="L307" t="s">
        <v>25</v>
      </c>
    </row>
    <row r="308" spans="1:12" ht="14.25" x14ac:dyDescent="0.2">
      <c r="A308">
        <v>306</v>
      </c>
      <c r="B308">
        <v>2022</v>
      </c>
      <c r="C308" t="s">
        <v>17</v>
      </c>
      <c r="D308" t="s">
        <v>12</v>
      </c>
      <c r="E308" t="s">
        <v>31</v>
      </c>
      <c r="F308">
        <v>116000</v>
      </c>
      <c r="G308" t="s">
        <v>19</v>
      </c>
      <c r="H308">
        <v>116000</v>
      </c>
      <c r="I308" t="s">
        <v>29</v>
      </c>
      <c r="J308">
        <v>0</v>
      </c>
      <c r="K308" t="s">
        <v>29</v>
      </c>
      <c r="L308" t="s">
        <v>25</v>
      </c>
    </row>
    <row r="309" spans="1:12" ht="14.25" x14ac:dyDescent="0.2">
      <c r="A309">
        <v>307</v>
      </c>
      <c r="B309">
        <v>2022</v>
      </c>
      <c r="C309" t="s">
        <v>11</v>
      </c>
      <c r="D309" t="s">
        <v>12</v>
      </c>
      <c r="E309" t="s">
        <v>31</v>
      </c>
      <c r="F309">
        <v>106260</v>
      </c>
      <c r="G309" t="s">
        <v>19</v>
      </c>
      <c r="H309">
        <v>106260</v>
      </c>
      <c r="I309" t="s">
        <v>29</v>
      </c>
      <c r="J309">
        <v>0</v>
      </c>
      <c r="K309" t="s">
        <v>29</v>
      </c>
      <c r="L309" t="s">
        <v>25</v>
      </c>
    </row>
    <row r="310" spans="1:12" ht="14.25" x14ac:dyDescent="0.2">
      <c r="A310">
        <v>308</v>
      </c>
      <c r="B310">
        <v>2022</v>
      </c>
      <c r="C310" t="s">
        <v>11</v>
      </c>
      <c r="D310" t="s">
        <v>12</v>
      </c>
      <c r="E310" t="s">
        <v>31</v>
      </c>
      <c r="F310">
        <v>126500</v>
      </c>
      <c r="G310" t="s">
        <v>19</v>
      </c>
      <c r="H310">
        <v>126500</v>
      </c>
      <c r="I310" t="s">
        <v>29</v>
      </c>
      <c r="J310">
        <v>0</v>
      </c>
      <c r="K310" t="s">
        <v>29</v>
      </c>
      <c r="L310" t="s">
        <v>25</v>
      </c>
    </row>
    <row r="311" spans="1:12" ht="14.25" x14ac:dyDescent="0.2">
      <c r="A311">
        <v>309</v>
      </c>
      <c r="B311">
        <v>2022</v>
      </c>
      <c r="C311" t="s">
        <v>53</v>
      </c>
      <c r="D311" t="s">
        <v>12</v>
      </c>
      <c r="E311" t="s">
        <v>43</v>
      </c>
      <c r="F311">
        <v>242000</v>
      </c>
      <c r="G311" t="s">
        <v>19</v>
      </c>
      <c r="H311">
        <v>242000</v>
      </c>
      <c r="I311" t="s">
        <v>29</v>
      </c>
      <c r="J311">
        <v>100</v>
      </c>
      <c r="K311" t="s">
        <v>29</v>
      </c>
      <c r="L311" t="s">
        <v>25</v>
      </c>
    </row>
    <row r="312" spans="1:12" ht="14.25" x14ac:dyDescent="0.2">
      <c r="A312">
        <v>310</v>
      </c>
      <c r="B312">
        <v>2022</v>
      </c>
      <c r="C312" t="s">
        <v>53</v>
      </c>
      <c r="D312" t="s">
        <v>12</v>
      </c>
      <c r="E312" t="s">
        <v>43</v>
      </c>
      <c r="F312">
        <v>200000</v>
      </c>
      <c r="G312" t="s">
        <v>19</v>
      </c>
      <c r="H312">
        <v>200000</v>
      </c>
      <c r="I312" t="s">
        <v>29</v>
      </c>
      <c r="J312">
        <v>100</v>
      </c>
      <c r="K312" t="s">
        <v>29</v>
      </c>
      <c r="L312" t="s">
        <v>25</v>
      </c>
    </row>
    <row r="313" spans="1:12" ht="14.25" x14ac:dyDescent="0.2">
      <c r="A313">
        <v>311</v>
      </c>
      <c r="B313">
        <v>2022</v>
      </c>
      <c r="C313" t="s">
        <v>11</v>
      </c>
      <c r="D313" t="s">
        <v>12</v>
      </c>
      <c r="E313" t="s">
        <v>13</v>
      </c>
      <c r="F313">
        <v>50000</v>
      </c>
      <c r="G313" t="s">
        <v>23</v>
      </c>
      <c r="H313">
        <v>65438</v>
      </c>
      <c r="I313" t="s">
        <v>24</v>
      </c>
      <c r="J313">
        <v>0</v>
      </c>
      <c r="K313" t="s">
        <v>24</v>
      </c>
      <c r="L313" t="s">
        <v>25</v>
      </c>
    </row>
    <row r="314" spans="1:12" ht="14.25" x14ac:dyDescent="0.2">
      <c r="A314">
        <v>312</v>
      </c>
      <c r="B314">
        <v>2022</v>
      </c>
      <c r="C314" t="s">
        <v>11</v>
      </c>
      <c r="D314" t="s">
        <v>12</v>
      </c>
      <c r="E314" t="s">
        <v>13</v>
      </c>
      <c r="F314">
        <v>30000</v>
      </c>
      <c r="G314" t="s">
        <v>23</v>
      </c>
      <c r="H314">
        <v>39263</v>
      </c>
      <c r="I314" t="s">
        <v>24</v>
      </c>
      <c r="J314">
        <v>0</v>
      </c>
      <c r="K314" t="s">
        <v>24</v>
      </c>
      <c r="L314" t="s">
        <v>25</v>
      </c>
    </row>
    <row r="315" spans="1:12" ht="14.25" x14ac:dyDescent="0.2">
      <c r="A315">
        <v>313</v>
      </c>
      <c r="B315">
        <v>2022</v>
      </c>
      <c r="C315" t="s">
        <v>11</v>
      </c>
      <c r="D315" t="s">
        <v>12</v>
      </c>
      <c r="E315" t="s">
        <v>43</v>
      </c>
      <c r="F315">
        <v>60000</v>
      </c>
      <c r="G315" t="s">
        <v>23</v>
      </c>
      <c r="H315">
        <v>78526</v>
      </c>
      <c r="I315" t="s">
        <v>24</v>
      </c>
      <c r="J315">
        <v>0</v>
      </c>
      <c r="K315" t="s">
        <v>24</v>
      </c>
      <c r="L315" t="s">
        <v>25</v>
      </c>
    </row>
    <row r="316" spans="1:12" ht="14.25" x14ac:dyDescent="0.2">
      <c r="A316">
        <v>314</v>
      </c>
      <c r="B316">
        <v>2022</v>
      </c>
      <c r="C316" t="s">
        <v>11</v>
      </c>
      <c r="D316" t="s">
        <v>12</v>
      </c>
      <c r="E316" t="s">
        <v>43</v>
      </c>
      <c r="F316">
        <v>40000</v>
      </c>
      <c r="G316" t="s">
        <v>23</v>
      </c>
      <c r="H316">
        <v>52351</v>
      </c>
      <c r="I316" t="s">
        <v>24</v>
      </c>
      <c r="J316">
        <v>0</v>
      </c>
      <c r="K316" t="s">
        <v>24</v>
      </c>
      <c r="L316" t="s">
        <v>25</v>
      </c>
    </row>
    <row r="317" spans="1:12" ht="14.25" x14ac:dyDescent="0.2">
      <c r="A317">
        <v>315</v>
      </c>
      <c r="B317">
        <v>2022</v>
      </c>
      <c r="C317" t="s">
        <v>17</v>
      </c>
      <c r="D317" t="s">
        <v>12</v>
      </c>
      <c r="E317" t="s">
        <v>13</v>
      </c>
      <c r="F317">
        <v>165220</v>
      </c>
      <c r="G317" t="s">
        <v>19</v>
      </c>
      <c r="H317">
        <v>165220</v>
      </c>
      <c r="I317" t="s">
        <v>29</v>
      </c>
      <c r="J317">
        <v>100</v>
      </c>
      <c r="K317" t="s">
        <v>29</v>
      </c>
      <c r="L317" t="s">
        <v>25</v>
      </c>
    </row>
    <row r="318" spans="1:12" ht="14.25" x14ac:dyDescent="0.2">
      <c r="A318">
        <v>316</v>
      </c>
      <c r="B318">
        <v>2022</v>
      </c>
      <c r="C318" t="s">
        <v>30</v>
      </c>
      <c r="D318" t="s">
        <v>12</v>
      </c>
      <c r="E318" t="s">
        <v>43</v>
      </c>
      <c r="F318">
        <v>35000</v>
      </c>
      <c r="G318" t="s">
        <v>23</v>
      </c>
      <c r="H318">
        <v>45807</v>
      </c>
      <c r="I318" t="s">
        <v>24</v>
      </c>
      <c r="J318">
        <v>100</v>
      </c>
      <c r="K318" t="s">
        <v>24</v>
      </c>
      <c r="L318" t="s">
        <v>25</v>
      </c>
    </row>
    <row r="319" spans="1:12" ht="14.25" x14ac:dyDescent="0.2">
      <c r="A319">
        <v>317</v>
      </c>
      <c r="B319">
        <v>2022</v>
      </c>
      <c r="C319" t="s">
        <v>17</v>
      </c>
      <c r="D319" t="s">
        <v>12</v>
      </c>
      <c r="E319" t="s">
        <v>13</v>
      </c>
      <c r="F319">
        <v>120160</v>
      </c>
      <c r="G319" t="s">
        <v>19</v>
      </c>
      <c r="H319">
        <v>120160</v>
      </c>
      <c r="I319" t="s">
        <v>29</v>
      </c>
      <c r="J319">
        <v>100</v>
      </c>
      <c r="K319" t="s">
        <v>29</v>
      </c>
      <c r="L319" t="s">
        <v>25</v>
      </c>
    </row>
    <row r="320" spans="1:12" ht="14.25" x14ac:dyDescent="0.2">
      <c r="A320">
        <v>318</v>
      </c>
      <c r="B320">
        <v>2022</v>
      </c>
      <c r="C320" t="s">
        <v>17</v>
      </c>
      <c r="D320" t="s">
        <v>12</v>
      </c>
      <c r="E320" t="s">
        <v>31</v>
      </c>
      <c r="F320">
        <v>90320</v>
      </c>
      <c r="G320" t="s">
        <v>19</v>
      </c>
      <c r="H320">
        <v>90320</v>
      </c>
      <c r="I320" t="s">
        <v>29</v>
      </c>
      <c r="J320">
        <v>100</v>
      </c>
      <c r="K320" t="s">
        <v>29</v>
      </c>
      <c r="L320" t="s">
        <v>25</v>
      </c>
    </row>
    <row r="321" spans="1:12" ht="14.25" x14ac:dyDescent="0.2">
      <c r="A321">
        <v>319</v>
      </c>
      <c r="B321">
        <v>2022</v>
      </c>
      <c r="C321" t="s">
        <v>17</v>
      </c>
      <c r="D321" t="s">
        <v>12</v>
      </c>
      <c r="E321" t="s">
        <v>43</v>
      </c>
      <c r="F321">
        <v>181940</v>
      </c>
      <c r="G321" t="s">
        <v>19</v>
      </c>
      <c r="H321">
        <v>181940</v>
      </c>
      <c r="I321" t="s">
        <v>29</v>
      </c>
      <c r="J321">
        <v>0</v>
      </c>
      <c r="K321" t="s">
        <v>29</v>
      </c>
      <c r="L321" t="s">
        <v>25</v>
      </c>
    </row>
    <row r="322" spans="1:12" ht="14.25" x14ac:dyDescent="0.2">
      <c r="A322">
        <v>320</v>
      </c>
      <c r="B322">
        <v>2022</v>
      </c>
      <c r="C322" t="s">
        <v>17</v>
      </c>
      <c r="D322" t="s">
        <v>12</v>
      </c>
      <c r="E322" t="s">
        <v>43</v>
      </c>
      <c r="F322">
        <v>132320</v>
      </c>
      <c r="G322" t="s">
        <v>19</v>
      </c>
      <c r="H322">
        <v>132320</v>
      </c>
      <c r="I322" t="s">
        <v>29</v>
      </c>
      <c r="J322">
        <v>0</v>
      </c>
      <c r="K322" t="s">
        <v>29</v>
      </c>
      <c r="L322" t="s">
        <v>25</v>
      </c>
    </row>
    <row r="323" spans="1:12" ht="14.25" x14ac:dyDescent="0.2">
      <c r="A323">
        <v>321</v>
      </c>
      <c r="B323">
        <v>2022</v>
      </c>
      <c r="C323" t="s">
        <v>17</v>
      </c>
      <c r="D323" t="s">
        <v>12</v>
      </c>
      <c r="E323" t="s">
        <v>43</v>
      </c>
      <c r="F323">
        <v>220110</v>
      </c>
      <c r="G323" t="s">
        <v>19</v>
      </c>
      <c r="H323">
        <v>220110</v>
      </c>
      <c r="I323" t="s">
        <v>29</v>
      </c>
      <c r="J323">
        <v>0</v>
      </c>
      <c r="K323" t="s">
        <v>29</v>
      </c>
      <c r="L323" t="s">
        <v>25</v>
      </c>
    </row>
    <row r="324" spans="1:12" ht="14.25" x14ac:dyDescent="0.2">
      <c r="A324">
        <v>322</v>
      </c>
      <c r="B324">
        <v>2022</v>
      </c>
      <c r="C324" t="s">
        <v>17</v>
      </c>
      <c r="D324" t="s">
        <v>12</v>
      </c>
      <c r="E324" t="s">
        <v>43</v>
      </c>
      <c r="F324">
        <v>160080</v>
      </c>
      <c r="G324" t="s">
        <v>19</v>
      </c>
      <c r="H324">
        <v>160080</v>
      </c>
      <c r="I324" t="s">
        <v>29</v>
      </c>
      <c r="J324">
        <v>0</v>
      </c>
      <c r="K324" t="s">
        <v>29</v>
      </c>
      <c r="L324" t="s">
        <v>25</v>
      </c>
    </row>
    <row r="325" spans="1:12" ht="14.25" x14ac:dyDescent="0.2">
      <c r="A325">
        <v>323</v>
      </c>
      <c r="B325">
        <v>2022</v>
      </c>
      <c r="C325" t="s">
        <v>17</v>
      </c>
      <c r="D325" t="s">
        <v>12</v>
      </c>
      <c r="E325" t="s">
        <v>13</v>
      </c>
      <c r="F325">
        <v>180000</v>
      </c>
      <c r="G325" t="s">
        <v>19</v>
      </c>
      <c r="H325">
        <v>180000</v>
      </c>
      <c r="I325" t="s">
        <v>29</v>
      </c>
      <c r="J325">
        <v>0</v>
      </c>
      <c r="K325" t="s">
        <v>29</v>
      </c>
      <c r="L325" t="s">
        <v>16</v>
      </c>
    </row>
    <row r="326" spans="1:12" ht="14.25" x14ac:dyDescent="0.2">
      <c r="A326">
        <v>324</v>
      </c>
      <c r="B326">
        <v>2022</v>
      </c>
      <c r="C326" t="s">
        <v>17</v>
      </c>
      <c r="D326" t="s">
        <v>12</v>
      </c>
      <c r="E326" t="s">
        <v>13</v>
      </c>
      <c r="F326">
        <v>120000</v>
      </c>
      <c r="G326" t="s">
        <v>19</v>
      </c>
      <c r="H326">
        <v>120000</v>
      </c>
      <c r="I326" t="s">
        <v>29</v>
      </c>
      <c r="J326">
        <v>0</v>
      </c>
      <c r="K326" t="s">
        <v>29</v>
      </c>
      <c r="L326" t="s">
        <v>16</v>
      </c>
    </row>
    <row r="327" spans="1:12" ht="14.25" x14ac:dyDescent="0.2">
      <c r="A327">
        <v>325</v>
      </c>
      <c r="B327">
        <v>2022</v>
      </c>
      <c r="C327" t="s">
        <v>17</v>
      </c>
      <c r="D327" t="s">
        <v>12</v>
      </c>
      <c r="E327" t="s">
        <v>31</v>
      </c>
      <c r="F327">
        <v>124190</v>
      </c>
      <c r="G327" t="s">
        <v>19</v>
      </c>
      <c r="H327">
        <v>124190</v>
      </c>
      <c r="I327" t="s">
        <v>29</v>
      </c>
      <c r="J327">
        <v>100</v>
      </c>
      <c r="K327" t="s">
        <v>29</v>
      </c>
      <c r="L327" t="s">
        <v>25</v>
      </c>
    </row>
    <row r="328" spans="1:12" ht="14.25" x14ac:dyDescent="0.2">
      <c r="A328">
        <v>326</v>
      </c>
      <c r="B328">
        <v>2022</v>
      </c>
      <c r="C328" t="s">
        <v>53</v>
      </c>
      <c r="D328" t="s">
        <v>12</v>
      </c>
      <c r="E328" t="s">
        <v>31</v>
      </c>
      <c r="F328">
        <v>130000</v>
      </c>
      <c r="G328" t="s">
        <v>19</v>
      </c>
      <c r="H328">
        <v>130000</v>
      </c>
      <c r="I328" t="s">
        <v>29</v>
      </c>
      <c r="J328">
        <v>100</v>
      </c>
      <c r="K328" t="s">
        <v>29</v>
      </c>
      <c r="L328" t="s">
        <v>25</v>
      </c>
    </row>
    <row r="329" spans="1:12" ht="14.25" x14ac:dyDescent="0.2">
      <c r="A329">
        <v>327</v>
      </c>
      <c r="B329">
        <v>2022</v>
      </c>
      <c r="C329" t="s">
        <v>53</v>
      </c>
      <c r="D329" t="s">
        <v>12</v>
      </c>
      <c r="E329" t="s">
        <v>31</v>
      </c>
      <c r="F329">
        <v>110000</v>
      </c>
      <c r="G329" t="s">
        <v>19</v>
      </c>
      <c r="H329">
        <v>110000</v>
      </c>
      <c r="I329" t="s">
        <v>29</v>
      </c>
      <c r="J329">
        <v>100</v>
      </c>
      <c r="K329" t="s">
        <v>29</v>
      </c>
      <c r="L329" t="s">
        <v>25</v>
      </c>
    </row>
    <row r="330" spans="1:12" ht="14.25" x14ac:dyDescent="0.2">
      <c r="A330">
        <v>328</v>
      </c>
      <c r="B330">
        <v>2022</v>
      </c>
      <c r="C330" t="s">
        <v>17</v>
      </c>
      <c r="D330" t="s">
        <v>12</v>
      </c>
      <c r="E330" t="s">
        <v>31</v>
      </c>
      <c r="F330">
        <v>170000</v>
      </c>
      <c r="G330" t="s">
        <v>19</v>
      </c>
      <c r="H330">
        <v>170000</v>
      </c>
      <c r="I330" t="s">
        <v>29</v>
      </c>
      <c r="J330">
        <v>100</v>
      </c>
      <c r="K330" t="s">
        <v>29</v>
      </c>
      <c r="L330" t="s">
        <v>25</v>
      </c>
    </row>
    <row r="331" spans="1:12" ht="14.25" x14ac:dyDescent="0.2">
      <c r="A331">
        <v>329</v>
      </c>
      <c r="B331">
        <v>2022</v>
      </c>
      <c r="C331" t="s">
        <v>11</v>
      </c>
      <c r="D331" t="s">
        <v>12</v>
      </c>
      <c r="E331" t="s">
        <v>31</v>
      </c>
      <c r="F331">
        <v>115500</v>
      </c>
      <c r="G331" t="s">
        <v>19</v>
      </c>
      <c r="H331">
        <v>115500</v>
      </c>
      <c r="I331" t="s">
        <v>29</v>
      </c>
      <c r="J331">
        <v>100</v>
      </c>
      <c r="K331" t="s">
        <v>29</v>
      </c>
      <c r="L331" t="s">
        <v>25</v>
      </c>
    </row>
    <row r="332" spans="1:12" ht="14.25" x14ac:dyDescent="0.2">
      <c r="A332">
        <v>330</v>
      </c>
      <c r="B332">
        <v>2022</v>
      </c>
      <c r="C332" t="s">
        <v>17</v>
      </c>
      <c r="D332" t="s">
        <v>12</v>
      </c>
      <c r="E332" t="s">
        <v>31</v>
      </c>
      <c r="F332">
        <v>112900</v>
      </c>
      <c r="G332" t="s">
        <v>19</v>
      </c>
      <c r="H332">
        <v>112900</v>
      </c>
      <c r="I332" t="s">
        <v>29</v>
      </c>
      <c r="J332">
        <v>100</v>
      </c>
      <c r="K332" t="s">
        <v>29</v>
      </c>
      <c r="L332" t="s">
        <v>25</v>
      </c>
    </row>
    <row r="333" spans="1:12" ht="14.25" x14ac:dyDescent="0.2">
      <c r="A333">
        <v>331</v>
      </c>
      <c r="B333">
        <v>2022</v>
      </c>
      <c r="C333" t="s">
        <v>17</v>
      </c>
      <c r="D333" t="s">
        <v>12</v>
      </c>
      <c r="E333" t="s">
        <v>31</v>
      </c>
      <c r="F333">
        <v>90320</v>
      </c>
      <c r="G333" t="s">
        <v>19</v>
      </c>
      <c r="H333">
        <v>90320</v>
      </c>
      <c r="I333" t="s">
        <v>29</v>
      </c>
      <c r="J333">
        <v>100</v>
      </c>
      <c r="K333" t="s">
        <v>29</v>
      </c>
      <c r="L333" t="s">
        <v>25</v>
      </c>
    </row>
    <row r="334" spans="1:12" ht="14.25" x14ac:dyDescent="0.2">
      <c r="A334">
        <v>332</v>
      </c>
      <c r="B334">
        <v>2022</v>
      </c>
      <c r="C334" t="s">
        <v>17</v>
      </c>
      <c r="D334" t="s">
        <v>12</v>
      </c>
      <c r="E334" t="s">
        <v>31</v>
      </c>
      <c r="F334">
        <v>112900</v>
      </c>
      <c r="G334" t="s">
        <v>19</v>
      </c>
      <c r="H334">
        <v>112900</v>
      </c>
      <c r="I334" t="s">
        <v>29</v>
      </c>
      <c r="J334">
        <v>100</v>
      </c>
      <c r="K334" t="s">
        <v>29</v>
      </c>
      <c r="L334" t="s">
        <v>25</v>
      </c>
    </row>
    <row r="335" spans="1:12" ht="14.25" x14ac:dyDescent="0.2">
      <c r="A335">
        <v>333</v>
      </c>
      <c r="B335">
        <v>2022</v>
      </c>
      <c r="C335" t="s">
        <v>17</v>
      </c>
      <c r="D335" t="s">
        <v>12</v>
      </c>
      <c r="E335" t="s">
        <v>31</v>
      </c>
      <c r="F335">
        <v>90320</v>
      </c>
      <c r="G335" t="s">
        <v>19</v>
      </c>
      <c r="H335">
        <v>90320</v>
      </c>
      <c r="I335" t="s">
        <v>29</v>
      </c>
      <c r="J335">
        <v>100</v>
      </c>
      <c r="K335" t="s">
        <v>29</v>
      </c>
      <c r="L335" t="s">
        <v>25</v>
      </c>
    </row>
    <row r="336" spans="1:12" ht="14.25" x14ac:dyDescent="0.2">
      <c r="A336">
        <v>334</v>
      </c>
      <c r="B336">
        <v>2022</v>
      </c>
      <c r="C336" t="s">
        <v>17</v>
      </c>
      <c r="D336" t="s">
        <v>12</v>
      </c>
      <c r="E336" t="s">
        <v>43</v>
      </c>
      <c r="F336">
        <v>165400</v>
      </c>
      <c r="G336" t="s">
        <v>19</v>
      </c>
      <c r="H336">
        <v>165400</v>
      </c>
      <c r="I336" t="s">
        <v>29</v>
      </c>
      <c r="J336">
        <v>100</v>
      </c>
      <c r="K336" t="s">
        <v>29</v>
      </c>
      <c r="L336" t="s">
        <v>25</v>
      </c>
    </row>
    <row r="337" spans="1:12" ht="14.25" x14ac:dyDescent="0.2">
      <c r="A337">
        <v>335</v>
      </c>
      <c r="B337">
        <v>2022</v>
      </c>
      <c r="C337" t="s">
        <v>17</v>
      </c>
      <c r="D337" t="s">
        <v>12</v>
      </c>
      <c r="E337" t="s">
        <v>43</v>
      </c>
      <c r="F337">
        <v>132320</v>
      </c>
      <c r="G337" t="s">
        <v>19</v>
      </c>
      <c r="H337">
        <v>132320</v>
      </c>
      <c r="I337" t="s">
        <v>29</v>
      </c>
      <c r="J337">
        <v>100</v>
      </c>
      <c r="K337" t="s">
        <v>29</v>
      </c>
      <c r="L337" t="s">
        <v>25</v>
      </c>
    </row>
    <row r="338" spans="1:12" ht="14.25" x14ac:dyDescent="0.2">
      <c r="A338">
        <v>336</v>
      </c>
      <c r="B338">
        <v>2022</v>
      </c>
      <c r="C338" t="s">
        <v>11</v>
      </c>
      <c r="D338" t="s">
        <v>12</v>
      </c>
      <c r="E338" t="s">
        <v>31</v>
      </c>
      <c r="F338">
        <v>167000</v>
      </c>
      <c r="G338" t="s">
        <v>19</v>
      </c>
      <c r="H338">
        <v>167000</v>
      </c>
      <c r="I338" t="s">
        <v>29</v>
      </c>
      <c r="J338">
        <v>100</v>
      </c>
      <c r="K338" t="s">
        <v>29</v>
      </c>
      <c r="L338" t="s">
        <v>25</v>
      </c>
    </row>
    <row r="339" spans="1:12" ht="14.25" x14ac:dyDescent="0.2">
      <c r="A339">
        <v>337</v>
      </c>
      <c r="B339">
        <v>2022</v>
      </c>
      <c r="C339" t="s">
        <v>17</v>
      </c>
      <c r="D339" t="s">
        <v>12</v>
      </c>
      <c r="E339" t="s">
        <v>43</v>
      </c>
      <c r="F339">
        <v>243900</v>
      </c>
      <c r="G339" t="s">
        <v>19</v>
      </c>
      <c r="H339">
        <v>243900</v>
      </c>
      <c r="I339" t="s">
        <v>29</v>
      </c>
      <c r="J339">
        <v>100</v>
      </c>
      <c r="K339" t="s">
        <v>29</v>
      </c>
      <c r="L339" t="s">
        <v>25</v>
      </c>
    </row>
    <row r="340" spans="1:12" ht="14.25" x14ac:dyDescent="0.2">
      <c r="A340">
        <v>338</v>
      </c>
      <c r="B340">
        <v>2022</v>
      </c>
      <c r="C340" t="s">
        <v>17</v>
      </c>
      <c r="D340" t="s">
        <v>12</v>
      </c>
      <c r="E340" t="s">
        <v>31</v>
      </c>
      <c r="F340">
        <v>136600</v>
      </c>
      <c r="G340" t="s">
        <v>19</v>
      </c>
      <c r="H340">
        <v>136600</v>
      </c>
      <c r="I340" t="s">
        <v>29</v>
      </c>
      <c r="J340">
        <v>100</v>
      </c>
      <c r="K340" t="s">
        <v>29</v>
      </c>
      <c r="L340" t="s">
        <v>25</v>
      </c>
    </row>
    <row r="341" spans="1:12" ht="14.25" x14ac:dyDescent="0.2">
      <c r="A341">
        <v>339</v>
      </c>
      <c r="B341">
        <v>2022</v>
      </c>
      <c r="C341" t="s">
        <v>17</v>
      </c>
      <c r="D341" t="s">
        <v>12</v>
      </c>
      <c r="E341" t="s">
        <v>31</v>
      </c>
      <c r="F341">
        <v>109280</v>
      </c>
      <c r="G341" t="s">
        <v>19</v>
      </c>
      <c r="H341">
        <v>109280</v>
      </c>
      <c r="I341" t="s">
        <v>29</v>
      </c>
      <c r="J341">
        <v>100</v>
      </c>
      <c r="K341" t="s">
        <v>29</v>
      </c>
      <c r="L341" t="s">
        <v>25</v>
      </c>
    </row>
    <row r="342" spans="1:12" ht="14.25" x14ac:dyDescent="0.2">
      <c r="A342">
        <v>340</v>
      </c>
      <c r="B342">
        <v>2022</v>
      </c>
      <c r="C342" t="s">
        <v>17</v>
      </c>
      <c r="D342" t="s">
        <v>12</v>
      </c>
      <c r="E342" t="s">
        <v>43</v>
      </c>
      <c r="F342">
        <v>128875</v>
      </c>
      <c r="G342" t="s">
        <v>19</v>
      </c>
      <c r="H342">
        <v>128875</v>
      </c>
      <c r="I342" t="s">
        <v>29</v>
      </c>
      <c r="J342">
        <v>100</v>
      </c>
      <c r="K342" t="s">
        <v>29</v>
      </c>
      <c r="L342" t="s">
        <v>25</v>
      </c>
    </row>
    <row r="343" spans="1:12" ht="14.25" x14ac:dyDescent="0.2">
      <c r="A343">
        <v>341</v>
      </c>
      <c r="B343">
        <v>2022</v>
      </c>
      <c r="C343" t="s">
        <v>17</v>
      </c>
      <c r="D343" t="s">
        <v>12</v>
      </c>
      <c r="E343" t="s">
        <v>43</v>
      </c>
      <c r="F343">
        <v>93700</v>
      </c>
      <c r="G343" t="s">
        <v>19</v>
      </c>
      <c r="H343">
        <v>93700</v>
      </c>
      <c r="I343" t="s">
        <v>29</v>
      </c>
      <c r="J343">
        <v>100</v>
      </c>
      <c r="K343" t="s">
        <v>29</v>
      </c>
      <c r="L343" t="s">
        <v>25</v>
      </c>
    </row>
    <row r="344" spans="1:12" ht="14.25" x14ac:dyDescent="0.2">
      <c r="A344">
        <v>342</v>
      </c>
      <c r="B344">
        <v>2022</v>
      </c>
      <c r="C344" t="s">
        <v>53</v>
      </c>
      <c r="D344" t="s">
        <v>12</v>
      </c>
      <c r="E344" t="s">
        <v>106</v>
      </c>
      <c r="F344">
        <v>224000</v>
      </c>
      <c r="G344" t="s">
        <v>19</v>
      </c>
      <c r="H344">
        <v>224000</v>
      </c>
      <c r="I344" t="s">
        <v>29</v>
      </c>
      <c r="J344">
        <v>100</v>
      </c>
      <c r="K344" t="s">
        <v>29</v>
      </c>
      <c r="L344" t="s">
        <v>25</v>
      </c>
    </row>
    <row r="345" spans="1:12" ht="14.25" x14ac:dyDescent="0.2">
      <c r="A345">
        <v>343</v>
      </c>
      <c r="B345">
        <v>2022</v>
      </c>
      <c r="C345" t="s">
        <v>53</v>
      </c>
      <c r="D345" t="s">
        <v>12</v>
      </c>
      <c r="E345" t="s">
        <v>106</v>
      </c>
      <c r="F345">
        <v>167875</v>
      </c>
      <c r="G345" t="s">
        <v>19</v>
      </c>
      <c r="H345">
        <v>167875</v>
      </c>
      <c r="I345" t="s">
        <v>29</v>
      </c>
      <c r="J345">
        <v>100</v>
      </c>
      <c r="K345" t="s">
        <v>29</v>
      </c>
      <c r="L345" t="s">
        <v>25</v>
      </c>
    </row>
    <row r="346" spans="1:12" ht="14.25" x14ac:dyDescent="0.2">
      <c r="A346">
        <v>344</v>
      </c>
      <c r="B346">
        <v>2022</v>
      </c>
      <c r="C346" t="s">
        <v>53</v>
      </c>
      <c r="D346" t="s">
        <v>12</v>
      </c>
      <c r="E346" t="s">
        <v>131</v>
      </c>
      <c r="F346">
        <v>175000</v>
      </c>
      <c r="G346" t="s">
        <v>19</v>
      </c>
      <c r="H346">
        <v>175000</v>
      </c>
      <c r="I346" t="s">
        <v>29</v>
      </c>
      <c r="J346">
        <v>100</v>
      </c>
      <c r="K346" t="s">
        <v>29</v>
      </c>
      <c r="L346" t="s">
        <v>25</v>
      </c>
    </row>
    <row r="347" spans="1:12" ht="14.25" x14ac:dyDescent="0.2">
      <c r="A347">
        <v>345</v>
      </c>
      <c r="B347">
        <v>2022</v>
      </c>
      <c r="C347" t="s">
        <v>17</v>
      </c>
      <c r="D347" t="s">
        <v>12</v>
      </c>
      <c r="E347" t="s">
        <v>43</v>
      </c>
      <c r="F347">
        <v>156600</v>
      </c>
      <c r="G347" t="s">
        <v>19</v>
      </c>
      <c r="H347">
        <v>156600</v>
      </c>
      <c r="I347" t="s">
        <v>29</v>
      </c>
      <c r="J347">
        <v>100</v>
      </c>
      <c r="K347" t="s">
        <v>29</v>
      </c>
      <c r="L347" t="s">
        <v>25</v>
      </c>
    </row>
    <row r="348" spans="1:12" ht="14.25" x14ac:dyDescent="0.2">
      <c r="A348">
        <v>346</v>
      </c>
      <c r="B348">
        <v>2022</v>
      </c>
      <c r="C348" t="s">
        <v>17</v>
      </c>
      <c r="D348" t="s">
        <v>12</v>
      </c>
      <c r="E348" t="s">
        <v>43</v>
      </c>
      <c r="F348">
        <v>108800</v>
      </c>
      <c r="G348" t="s">
        <v>19</v>
      </c>
      <c r="H348">
        <v>108800</v>
      </c>
      <c r="I348" t="s">
        <v>29</v>
      </c>
      <c r="J348">
        <v>0</v>
      </c>
      <c r="K348" t="s">
        <v>29</v>
      </c>
      <c r="L348" t="s">
        <v>25</v>
      </c>
    </row>
    <row r="349" spans="1:12" ht="14.25" x14ac:dyDescent="0.2">
      <c r="A349">
        <v>347</v>
      </c>
      <c r="B349">
        <v>2022</v>
      </c>
      <c r="C349" t="s">
        <v>17</v>
      </c>
      <c r="D349" t="s">
        <v>12</v>
      </c>
      <c r="E349" t="s">
        <v>13</v>
      </c>
      <c r="F349">
        <v>95550</v>
      </c>
      <c r="G349" t="s">
        <v>19</v>
      </c>
      <c r="H349">
        <v>95550</v>
      </c>
      <c r="I349" t="s">
        <v>29</v>
      </c>
      <c r="J349">
        <v>0</v>
      </c>
      <c r="K349" t="s">
        <v>29</v>
      </c>
      <c r="L349" t="s">
        <v>25</v>
      </c>
    </row>
    <row r="350" spans="1:12" ht="14.25" x14ac:dyDescent="0.2">
      <c r="A350">
        <v>348</v>
      </c>
      <c r="B350">
        <v>2022</v>
      </c>
      <c r="C350" t="s">
        <v>17</v>
      </c>
      <c r="D350" t="s">
        <v>12</v>
      </c>
      <c r="E350" t="s">
        <v>43</v>
      </c>
      <c r="F350">
        <v>113000</v>
      </c>
      <c r="G350" t="s">
        <v>19</v>
      </c>
      <c r="H350">
        <v>113000</v>
      </c>
      <c r="I350" t="s">
        <v>29</v>
      </c>
      <c r="J350">
        <v>0</v>
      </c>
      <c r="K350" t="s">
        <v>29</v>
      </c>
      <c r="L350" t="s">
        <v>16</v>
      </c>
    </row>
    <row r="351" spans="1:12" ht="14.25" x14ac:dyDescent="0.2">
      <c r="A351">
        <v>349</v>
      </c>
      <c r="B351">
        <v>2022</v>
      </c>
      <c r="C351" t="s">
        <v>17</v>
      </c>
      <c r="D351" t="s">
        <v>12</v>
      </c>
      <c r="E351" t="s">
        <v>31</v>
      </c>
      <c r="F351">
        <v>135000</v>
      </c>
      <c r="G351" t="s">
        <v>19</v>
      </c>
      <c r="H351">
        <v>135000</v>
      </c>
      <c r="I351" t="s">
        <v>29</v>
      </c>
      <c r="J351">
        <v>100</v>
      </c>
      <c r="K351" t="s">
        <v>29</v>
      </c>
      <c r="L351" t="s">
        <v>25</v>
      </c>
    </row>
    <row r="352" spans="1:12" ht="14.25" x14ac:dyDescent="0.2">
      <c r="A352">
        <v>350</v>
      </c>
      <c r="B352">
        <v>2022</v>
      </c>
      <c r="C352" t="s">
        <v>17</v>
      </c>
      <c r="D352" t="s">
        <v>12</v>
      </c>
      <c r="E352" t="s">
        <v>79</v>
      </c>
      <c r="F352">
        <v>161342</v>
      </c>
      <c r="G352" t="s">
        <v>19</v>
      </c>
      <c r="H352">
        <v>161342</v>
      </c>
      <c r="I352" t="s">
        <v>29</v>
      </c>
      <c r="J352">
        <v>100</v>
      </c>
      <c r="K352" t="s">
        <v>29</v>
      </c>
      <c r="L352" t="s">
        <v>25</v>
      </c>
    </row>
    <row r="353" spans="1:12" ht="14.25" x14ac:dyDescent="0.2">
      <c r="A353">
        <v>351</v>
      </c>
      <c r="B353">
        <v>2022</v>
      </c>
      <c r="C353" t="s">
        <v>17</v>
      </c>
      <c r="D353" t="s">
        <v>12</v>
      </c>
      <c r="E353" t="s">
        <v>79</v>
      </c>
      <c r="F353">
        <v>137141</v>
      </c>
      <c r="G353" t="s">
        <v>19</v>
      </c>
      <c r="H353">
        <v>137141</v>
      </c>
      <c r="I353" t="s">
        <v>29</v>
      </c>
      <c r="J353">
        <v>100</v>
      </c>
      <c r="K353" t="s">
        <v>29</v>
      </c>
      <c r="L353" t="s">
        <v>25</v>
      </c>
    </row>
    <row r="354" spans="1:12" ht="14.25" x14ac:dyDescent="0.2">
      <c r="A354">
        <v>352</v>
      </c>
      <c r="B354">
        <v>2022</v>
      </c>
      <c r="C354" t="s">
        <v>17</v>
      </c>
      <c r="D354" t="s">
        <v>12</v>
      </c>
      <c r="E354" t="s">
        <v>13</v>
      </c>
      <c r="F354">
        <v>167000</v>
      </c>
      <c r="G354" t="s">
        <v>19</v>
      </c>
      <c r="H354">
        <v>167000</v>
      </c>
      <c r="I354" t="s">
        <v>29</v>
      </c>
      <c r="J354">
        <v>100</v>
      </c>
      <c r="K354" t="s">
        <v>29</v>
      </c>
      <c r="L354" t="s">
        <v>25</v>
      </c>
    </row>
    <row r="355" spans="1:12" ht="14.25" x14ac:dyDescent="0.2">
      <c r="A355">
        <v>353</v>
      </c>
      <c r="B355">
        <v>2022</v>
      </c>
      <c r="C355" t="s">
        <v>17</v>
      </c>
      <c r="D355" t="s">
        <v>12</v>
      </c>
      <c r="E355" t="s">
        <v>13</v>
      </c>
      <c r="F355">
        <v>123000</v>
      </c>
      <c r="G355" t="s">
        <v>19</v>
      </c>
      <c r="H355">
        <v>123000</v>
      </c>
      <c r="I355" t="s">
        <v>29</v>
      </c>
      <c r="J355">
        <v>100</v>
      </c>
      <c r="K355" t="s">
        <v>29</v>
      </c>
      <c r="L355" t="s">
        <v>25</v>
      </c>
    </row>
    <row r="356" spans="1:12" ht="14.25" x14ac:dyDescent="0.2">
      <c r="A356">
        <v>354</v>
      </c>
      <c r="B356">
        <v>2022</v>
      </c>
      <c r="C356" t="s">
        <v>17</v>
      </c>
      <c r="D356" t="s">
        <v>12</v>
      </c>
      <c r="E356" t="s">
        <v>43</v>
      </c>
      <c r="F356">
        <v>60000</v>
      </c>
      <c r="G356" t="s">
        <v>23</v>
      </c>
      <c r="H356">
        <v>78526</v>
      </c>
      <c r="I356" t="s">
        <v>24</v>
      </c>
      <c r="J356">
        <v>0</v>
      </c>
      <c r="K356" t="s">
        <v>24</v>
      </c>
      <c r="L356" t="s">
        <v>25</v>
      </c>
    </row>
    <row r="357" spans="1:12" ht="14.25" x14ac:dyDescent="0.2">
      <c r="A357">
        <v>355</v>
      </c>
      <c r="B357">
        <v>2022</v>
      </c>
      <c r="C357" t="s">
        <v>17</v>
      </c>
      <c r="D357" t="s">
        <v>12</v>
      </c>
      <c r="E357" t="s">
        <v>43</v>
      </c>
      <c r="F357">
        <v>50000</v>
      </c>
      <c r="G357" t="s">
        <v>23</v>
      </c>
      <c r="H357">
        <v>65438</v>
      </c>
      <c r="I357" t="s">
        <v>24</v>
      </c>
      <c r="J357">
        <v>0</v>
      </c>
      <c r="K357" t="s">
        <v>24</v>
      </c>
      <c r="L357" t="s">
        <v>25</v>
      </c>
    </row>
    <row r="358" spans="1:12" ht="14.25" x14ac:dyDescent="0.2">
      <c r="A358">
        <v>356</v>
      </c>
      <c r="B358">
        <v>2022</v>
      </c>
      <c r="C358" t="s">
        <v>17</v>
      </c>
      <c r="D358" t="s">
        <v>12</v>
      </c>
      <c r="E358" t="s">
        <v>13</v>
      </c>
      <c r="F358">
        <v>150000</v>
      </c>
      <c r="G358" t="s">
        <v>19</v>
      </c>
      <c r="H358">
        <v>150000</v>
      </c>
      <c r="I358" t="s">
        <v>29</v>
      </c>
      <c r="J358">
        <v>0</v>
      </c>
      <c r="K358" t="s">
        <v>29</v>
      </c>
      <c r="L358" t="s">
        <v>25</v>
      </c>
    </row>
    <row r="359" spans="1:12" ht="14.25" x14ac:dyDescent="0.2">
      <c r="A359">
        <v>357</v>
      </c>
      <c r="B359">
        <v>2022</v>
      </c>
      <c r="C359" t="s">
        <v>17</v>
      </c>
      <c r="D359" t="s">
        <v>12</v>
      </c>
      <c r="E359" t="s">
        <v>13</v>
      </c>
      <c r="F359">
        <v>211500</v>
      </c>
      <c r="G359" t="s">
        <v>19</v>
      </c>
      <c r="H359">
        <v>211500</v>
      </c>
      <c r="I359" t="s">
        <v>29</v>
      </c>
      <c r="J359">
        <v>100</v>
      </c>
      <c r="K359" t="s">
        <v>29</v>
      </c>
      <c r="L359" t="s">
        <v>25</v>
      </c>
    </row>
    <row r="360" spans="1:12" ht="14.25" x14ac:dyDescent="0.2">
      <c r="A360">
        <v>358</v>
      </c>
      <c r="B360">
        <v>2022</v>
      </c>
      <c r="C360" t="s">
        <v>17</v>
      </c>
      <c r="D360" t="s">
        <v>12</v>
      </c>
      <c r="E360" t="s">
        <v>109</v>
      </c>
      <c r="F360">
        <v>192400</v>
      </c>
      <c r="G360" t="s">
        <v>19</v>
      </c>
      <c r="H360">
        <v>192400</v>
      </c>
      <c r="I360" t="s">
        <v>62</v>
      </c>
      <c r="J360">
        <v>100</v>
      </c>
      <c r="K360" t="s">
        <v>62</v>
      </c>
      <c r="L360" t="s">
        <v>25</v>
      </c>
    </row>
    <row r="361" spans="1:12" ht="14.25" x14ac:dyDescent="0.2">
      <c r="A361">
        <v>359</v>
      </c>
      <c r="B361">
        <v>2022</v>
      </c>
      <c r="C361" t="s">
        <v>17</v>
      </c>
      <c r="D361" t="s">
        <v>12</v>
      </c>
      <c r="E361" t="s">
        <v>109</v>
      </c>
      <c r="F361">
        <v>90700</v>
      </c>
      <c r="G361" t="s">
        <v>19</v>
      </c>
      <c r="H361">
        <v>90700</v>
      </c>
      <c r="I361" t="s">
        <v>62</v>
      </c>
      <c r="J361">
        <v>100</v>
      </c>
      <c r="K361" t="s">
        <v>62</v>
      </c>
      <c r="L361" t="s">
        <v>25</v>
      </c>
    </row>
    <row r="362" spans="1:12" ht="14.25" x14ac:dyDescent="0.2">
      <c r="A362">
        <v>360</v>
      </c>
      <c r="B362">
        <v>2022</v>
      </c>
      <c r="C362" t="s">
        <v>17</v>
      </c>
      <c r="D362" t="s">
        <v>12</v>
      </c>
      <c r="E362" t="s">
        <v>31</v>
      </c>
      <c r="F362">
        <v>130000</v>
      </c>
      <c r="G362" t="s">
        <v>19</v>
      </c>
      <c r="H362">
        <v>130000</v>
      </c>
      <c r="I362" t="s">
        <v>62</v>
      </c>
      <c r="J362">
        <v>100</v>
      </c>
      <c r="K362" t="s">
        <v>62</v>
      </c>
      <c r="L362" t="s">
        <v>25</v>
      </c>
    </row>
    <row r="363" spans="1:12" ht="14.25" x14ac:dyDescent="0.2">
      <c r="A363">
        <v>361</v>
      </c>
      <c r="B363">
        <v>2022</v>
      </c>
      <c r="C363" t="s">
        <v>17</v>
      </c>
      <c r="D363" t="s">
        <v>12</v>
      </c>
      <c r="E363" t="s">
        <v>31</v>
      </c>
      <c r="F363">
        <v>61300</v>
      </c>
      <c r="G363" t="s">
        <v>19</v>
      </c>
      <c r="H363">
        <v>61300</v>
      </c>
      <c r="I363" t="s">
        <v>62</v>
      </c>
      <c r="J363">
        <v>100</v>
      </c>
      <c r="K363" t="s">
        <v>62</v>
      </c>
      <c r="L363" t="s">
        <v>25</v>
      </c>
    </row>
    <row r="364" spans="1:12" ht="14.25" x14ac:dyDescent="0.2">
      <c r="A364">
        <v>362</v>
      </c>
      <c r="B364">
        <v>2022</v>
      </c>
      <c r="C364" t="s">
        <v>17</v>
      </c>
      <c r="D364" t="s">
        <v>12</v>
      </c>
      <c r="E364" t="s">
        <v>31</v>
      </c>
      <c r="F364">
        <v>130000</v>
      </c>
      <c r="G364" t="s">
        <v>19</v>
      </c>
      <c r="H364">
        <v>130000</v>
      </c>
      <c r="I364" t="s">
        <v>62</v>
      </c>
      <c r="J364">
        <v>100</v>
      </c>
      <c r="K364" t="s">
        <v>62</v>
      </c>
      <c r="L364" t="s">
        <v>25</v>
      </c>
    </row>
    <row r="365" spans="1:12" ht="14.25" x14ac:dyDescent="0.2">
      <c r="A365">
        <v>363</v>
      </c>
      <c r="B365">
        <v>2022</v>
      </c>
      <c r="C365" t="s">
        <v>17</v>
      </c>
      <c r="D365" t="s">
        <v>12</v>
      </c>
      <c r="E365" t="s">
        <v>31</v>
      </c>
      <c r="F365">
        <v>61300</v>
      </c>
      <c r="G365" t="s">
        <v>19</v>
      </c>
      <c r="H365">
        <v>61300</v>
      </c>
      <c r="I365" t="s">
        <v>62</v>
      </c>
      <c r="J365">
        <v>100</v>
      </c>
      <c r="K365" t="s">
        <v>62</v>
      </c>
      <c r="L365" t="s">
        <v>25</v>
      </c>
    </row>
    <row r="366" spans="1:12" ht="14.25" x14ac:dyDescent="0.2">
      <c r="A366">
        <v>364</v>
      </c>
      <c r="B366">
        <v>2022</v>
      </c>
      <c r="C366" t="s">
        <v>17</v>
      </c>
      <c r="D366" t="s">
        <v>12</v>
      </c>
      <c r="E366" t="s">
        <v>43</v>
      </c>
      <c r="F366">
        <v>160000</v>
      </c>
      <c r="G366" t="s">
        <v>19</v>
      </c>
      <c r="H366">
        <v>160000</v>
      </c>
      <c r="I366" t="s">
        <v>29</v>
      </c>
      <c r="J366">
        <v>0</v>
      </c>
      <c r="K366" t="s">
        <v>29</v>
      </c>
      <c r="L366" t="s">
        <v>16</v>
      </c>
    </row>
    <row r="367" spans="1:12" ht="14.25" x14ac:dyDescent="0.2">
      <c r="A367">
        <v>365</v>
      </c>
      <c r="B367">
        <v>2022</v>
      </c>
      <c r="C367" t="s">
        <v>17</v>
      </c>
      <c r="D367" t="s">
        <v>12</v>
      </c>
      <c r="E367" t="s">
        <v>13</v>
      </c>
      <c r="F367">
        <v>138600</v>
      </c>
      <c r="G367" t="s">
        <v>19</v>
      </c>
      <c r="H367">
        <v>138600</v>
      </c>
      <c r="I367" t="s">
        <v>29</v>
      </c>
      <c r="J367">
        <v>100</v>
      </c>
      <c r="K367" t="s">
        <v>29</v>
      </c>
      <c r="L367" t="s">
        <v>25</v>
      </c>
    </row>
    <row r="368" spans="1:12" ht="14.25" x14ac:dyDescent="0.2">
      <c r="A368">
        <v>366</v>
      </c>
      <c r="B368">
        <v>2022</v>
      </c>
      <c r="C368" t="s">
        <v>17</v>
      </c>
      <c r="D368" t="s">
        <v>12</v>
      </c>
      <c r="E368" t="s">
        <v>43</v>
      </c>
      <c r="F368">
        <v>136000</v>
      </c>
      <c r="G368" t="s">
        <v>19</v>
      </c>
      <c r="H368">
        <v>136000</v>
      </c>
      <c r="I368" t="s">
        <v>29</v>
      </c>
      <c r="J368">
        <v>0</v>
      </c>
      <c r="K368" t="s">
        <v>29</v>
      </c>
      <c r="L368" t="s">
        <v>25</v>
      </c>
    </row>
    <row r="369" spans="1:12" ht="14.25" x14ac:dyDescent="0.2">
      <c r="A369">
        <v>367</v>
      </c>
      <c r="B369">
        <v>2022</v>
      </c>
      <c r="C369" t="s">
        <v>11</v>
      </c>
      <c r="D369" t="s">
        <v>12</v>
      </c>
      <c r="E369" t="s">
        <v>31</v>
      </c>
      <c r="F369">
        <v>58000</v>
      </c>
      <c r="G369" t="s">
        <v>19</v>
      </c>
      <c r="H369">
        <v>58000</v>
      </c>
      <c r="I369" t="s">
        <v>29</v>
      </c>
      <c r="J369">
        <v>0</v>
      </c>
      <c r="K369" t="s">
        <v>29</v>
      </c>
      <c r="L369" t="s">
        <v>21</v>
      </c>
    </row>
    <row r="370" spans="1:12" ht="14.25" x14ac:dyDescent="0.2">
      <c r="A370">
        <v>368</v>
      </c>
      <c r="B370">
        <v>2022</v>
      </c>
      <c r="C370" t="s">
        <v>53</v>
      </c>
      <c r="D370" t="s">
        <v>12</v>
      </c>
      <c r="E370" t="s">
        <v>131</v>
      </c>
      <c r="F370">
        <v>135000</v>
      </c>
      <c r="G370" t="s">
        <v>19</v>
      </c>
      <c r="H370">
        <v>135000</v>
      </c>
      <c r="I370" t="s">
        <v>29</v>
      </c>
      <c r="J370">
        <v>100</v>
      </c>
      <c r="K370" t="s">
        <v>29</v>
      </c>
      <c r="L370" t="s">
        <v>25</v>
      </c>
    </row>
    <row r="371" spans="1:12" ht="14.25" x14ac:dyDescent="0.2">
      <c r="A371">
        <v>369</v>
      </c>
      <c r="B371">
        <v>2022</v>
      </c>
      <c r="C371" t="s">
        <v>17</v>
      </c>
      <c r="D371" t="s">
        <v>12</v>
      </c>
      <c r="E371" t="s">
        <v>13</v>
      </c>
      <c r="F371">
        <v>170000</v>
      </c>
      <c r="G371" t="s">
        <v>19</v>
      </c>
      <c r="H371">
        <v>170000</v>
      </c>
      <c r="I371" t="s">
        <v>29</v>
      </c>
      <c r="J371">
        <v>100</v>
      </c>
      <c r="K371" t="s">
        <v>29</v>
      </c>
      <c r="L371" t="s">
        <v>25</v>
      </c>
    </row>
    <row r="372" spans="1:12" ht="14.25" x14ac:dyDescent="0.2">
      <c r="A372">
        <v>370</v>
      </c>
      <c r="B372">
        <v>2022</v>
      </c>
      <c r="C372" t="s">
        <v>17</v>
      </c>
      <c r="D372" t="s">
        <v>12</v>
      </c>
      <c r="E372" t="s">
        <v>13</v>
      </c>
      <c r="F372">
        <v>123000</v>
      </c>
      <c r="G372" t="s">
        <v>19</v>
      </c>
      <c r="H372">
        <v>123000</v>
      </c>
      <c r="I372" t="s">
        <v>29</v>
      </c>
      <c r="J372">
        <v>100</v>
      </c>
      <c r="K372" t="s">
        <v>29</v>
      </c>
      <c r="L372" t="s">
        <v>25</v>
      </c>
    </row>
    <row r="373" spans="1:12" ht="14.25" x14ac:dyDescent="0.2">
      <c r="A373">
        <v>371</v>
      </c>
      <c r="B373">
        <v>2022</v>
      </c>
      <c r="C373" t="s">
        <v>17</v>
      </c>
      <c r="D373" t="s">
        <v>12</v>
      </c>
      <c r="E373" t="s">
        <v>28</v>
      </c>
      <c r="F373">
        <v>189650</v>
      </c>
      <c r="G373" t="s">
        <v>19</v>
      </c>
      <c r="H373">
        <v>189650</v>
      </c>
      <c r="I373" t="s">
        <v>29</v>
      </c>
      <c r="J373">
        <v>0</v>
      </c>
      <c r="K373" t="s">
        <v>29</v>
      </c>
      <c r="L373" t="s">
        <v>25</v>
      </c>
    </row>
    <row r="374" spans="1:12" ht="14.25" x14ac:dyDescent="0.2">
      <c r="A374">
        <v>372</v>
      </c>
      <c r="B374">
        <v>2022</v>
      </c>
      <c r="C374" t="s">
        <v>17</v>
      </c>
      <c r="D374" t="s">
        <v>12</v>
      </c>
      <c r="E374" t="s">
        <v>28</v>
      </c>
      <c r="F374">
        <v>164996</v>
      </c>
      <c r="G374" t="s">
        <v>19</v>
      </c>
      <c r="H374">
        <v>164996</v>
      </c>
      <c r="I374" t="s">
        <v>29</v>
      </c>
      <c r="J374">
        <v>0</v>
      </c>
      <c r="K374" t="s">
        <v>29</v>
      </c>
      <c r="L374" t="s">
        <v>25</v>
      </c>
    </row>
    <row r="375" spans="1:12" ht="14.25" x14ac:dyDescent="0.2">
      <c r="A375">
        <v>373</v>
      </c>
      <c r="B375">
        <v>2022</v>
      </c>
      <c r="C375" t="s">
        <v>11</v>
      </c>
      <c r="D375" t="s">
        <v>12</v>
      </c>
      <c r="E375" t="s">
        <v>132</v>
      </c>
      <c r="F375">
        <v>50000</v>
      </c>
      <c r="G375" t="s">
        <v>14</v>
      </c>
      <c r="H375">
        <v>54957</v>
      </c>
      <c r="I375" t="s">
        <v>50</v>
      </c>
      <c r="J375">
        <v>0</v>
      </c>
      <c r="K375" t="s">
        <v>50</v>
      </c>
      <c r="L375" t="s">
        <v>25</v>
      </c>
    </row>
    <row r="376" spans="1:12" ht="14.25" x14ac:dyDescent="0.2">
      <c r="A376">
        <v>374</v>
      </c>
      <c r="B376">
        <v>2022</v>
      </c>
      <c r="C376" t="s">
        <v>11</v>
      </c>
      <c r="D376" t="s">
        <v>12</v>
      </c>
      <c r="E376" t="s">
        <v>132</v>
      </c>
      <c r="F376">
        <v>50000</v>
      </c>
      <c r="G376" t="s">
        <v>14</v>
      </c>
      <c r="H376">
        <v>54957</v>
      </c>
      <c r="I376" t="s">
        <v>50</v>
      </c>
      <c r="J376">
        <v>0</v>
      </c>
      <c r="K376" t="s">
        <v>50</v>
      </c>
      <c r="L376" t="s">
        <v>25</v>
      </c>
    </row>
    <row r="377" spans="1:12" ht="14.25" x14ac:dyDescent="0.2">
      <c r="A377">
        <v>375</v>
      </c>
      <c r="B377">
        <v>2022</v>
      </c>
      <c r="C377" t="s">
        <v>53</v>
      </c>
      <c r="D377" t="s">
        <v>12</v>
      </c>
      <c r="E377" t="s">
        <v>36</v>
      </c>
      <c r="F377">
        <v>150000</v>
      </c>
      <c r="G377" t="s">
        <v>61</v>
      </c>
      <c r="H377">
        <v>118187</v>
      </c>
      <c r="I377" t="s">
        <v>62</v>
      </c>
      <c r="J377">
        <v>100</v>
      </c>
      <c r="K377" t="s">
        <v>62</v>
      </c>
      <c r="L377" t="s">
        <v>21</v>
      </c>
    </row>
    <row r="378" spans="1:12" ht="14.25" x14ac:dyDescent="0.2">
      <c r="A378">
        <v>376</v>
      </c>
      <c r="B378">
        <v>2022</v>
      </c>
      <c r="C378" t="s">
        <v>17</v>
      </c>
      <c r="D378" t="s">
        <v>12</v>
      </c>
      <c r="E378" t="s">
        <v>31</v>
      </c>
      <c r="F378">
        <v>132000</v>
      </c>
      <c r="G378" t="s">
        <v>19</v>
      </c>
      <c r="H378">
        <v>132000</v>
      </c>
      <c r="I378" t="s">
        <v>29</v>
      </c>
      <c r="J378">
        <v>0</v>
      </c>
      <c r="K378" t="s">
        <v>29</v>
      </c>
      <c r="L378" t="s">
        <v>25</v>
      </c>
    </row>
    <row r="379" spans="1:12" ht="14.25" x14ac:dyDescent="0.2">
      <c r="A379">
        <v>377</v>
      </c>
      <c r="B379">
        <v>2022</v>
      </c>
      <c r="C379" t="s">
        <v>17</v>
      </c>
      <c r="D379" t="s">
        <v>12</v>
      </c>
      <c r="E379" t="s">
        <v>43</v>
      </c>
      <c r="F379">
        <v>165400</v>
      </c>
      <c r="G379" t="s">
        <v>19</v>
      </c>
      <c r="H379">
        <v>165400</v>
      </c>
      <c r="I379" t="s">
        <v>29</v>
      </c>
      <c r="J379">
        <v>100</v>
      </c>
      <c r="K379" t="s">
        <v>29</v>
      </c>
      <c r="L379" t="s">
        <v>25</v>
      </c>
    </row>
    <row r="380" spans="1:12" ht="14.25" x14ac:dyDescent="0.2">
      <c r="A380">
        <v>378</v>
      </c>
      <c r="B380">
        <v>2022</v>
      </c>
      <c r="C380" t="s">
        <v>17</v>
      </c>
      <c r="D380" t="s">
        <v>12</v>
      </c>
      <c r="E380" t="s">
        <v>109</v>
      </c>
      <c r="F380">
        <v>208775</v>
      </c>
      <c r="G380" t="s">
        <v>19</v>
      </c>
      <c r="H380">
        <v>208775</v>
      </c>
      <c r="I380" t="s">
        <v>29</v>
      </c>
      <c r="J380">
        <v>100</v>
      </c>
      <c r="K380" t="s">
        <v>29</v>
      </c>
      <c r="L380" t="s">
        <v>25</v>
      </c>
    </row>
    <row r="381" spans="1:12" ht="14.25" x14ac:dyDescent="0.2">
      <c r="A381">
        <v>379</v>
      </c>
      <c r="B381">
        <v>2022</v>
      </c>
      <c r="C381" t="s">
        <v>17</v>
      </c>
      <c r="D381" t="s">
        <v>12</v>
      </c>
      <c r="E381" t="s">
        <v>109</v>
      </c>
      <c r="F381">
        <v>147800</v>
      </c>
      <c r="G381" t="s">
        <v>19</v>
      </c>
      <c r="H381">
        <v>147800</v>
      </c>
      <c r="I381" t="s">
        <v>29</v>
      </c>
      <c r="J381">
        <v>100</v>
      </c>
      <c r="K381" t="s">
        <v>29</v>
      </c>
      <c r="L381" t="s">
        <v>25</v>
      </c>
    </row>
    <row r="382" spans="1:12" ht="14.25" x14ac:dyDescent="0.2">
      <c r="A382">
        <v>380</v>
      </c>
      <c r="B382">
        <v>2022</v>
      </c>
      <c r="C382" t="s">
        <v>17</v>
      </c>
      <c r="D382" t="s">
        <v>12</v>
      </c>
      <c r="E382" t="s">
        <v>43</v>
      </c>
      <c r="F382">
        <v>136994</v>
      </c>
      <c r="G382" t="s">
        <v>19</v>
      </c>
      <c r="H382">
        <v>136994</v>
      </c>
      <c r="I382" t="s">
        <v>29</v>
      </c>
      <c r="J382">
        <v>100</v>
      </c>
      <c r="K382" t="s">
        <v>29</v>
      </c>
      <c r="L382" t="s">
        <v>25</v>
      </c>
    </row>
    <row r="383" spans="1:12" ht="14.25" x14ac:dyDescent="0.2">
      <c r="A383">
        <v>381</v>
      </c>
      <c r="B383">
        <v>2022</v>
      </c>
      <c r="C383" t="s">
        <v>17</v>
      </c>
      <c r="D383" t="s">
        <v>12</v>
      </c>
      <c r="E383" t="s">
        <v>43</v>
      </c>
      <c r="F383">
        <v>101570</v>
      </c>
      <c r="G383" t="s">
        <v>19</v>
      </c>
      <c r="H383">
        <v>101570</v>
      </c>
      <c r="I383" t="s">
        <v>29</v>
      </c>
      <c r="J383">
        <v>100</v>
      </c>
      <c r="K383" t="s">
        <v>29</v>
      </c>
      <c r="L383" t="s">
        <v>25</v>
      </c>
    </row>
    <row r="384" spans="1:12" ht="14.25" x14ac:dyDescent="0.2">
      <c r="A384">
        <v>382</v>
      </c>
      <c r="B384">
        <v>2022</v>
      </c>
      <c r="C384" t="s">
        <v>17</v>
      </c>
      <c r="D384" t="s">
        <v>12</v>
      </c>
      <c r="E384" t="s">
        <v>31</v>
      </c>
      <c r="F384">
        <v>128875</v>
      </c>
      <c r="G384" t="s">
        <v>19</v>
      </c>
      <c r="H384">
        <v>128875</v>
      </c>
      <c r="I384" t="s">
        <v>29</v>
      </c>
      <c r="J384">
        <v>100</v>
      </c>
      <c r="K384" t="s">
        <v>29</v>
      </c>
      <c r="L384" t="s">
        <v>25</v>
      </c>
    </row>
    <row r="385" spans="1:12" ht="14.25" x14ac:dyDescent="0.2">
      <c r="A385">
        <v>383</v>
      </c>
      <c r="B385">
        <v>2022</v>
      </c>
      <c r="C385" t="s">
        <v>17</v>
      </c>
      <c r="D385" t="s">
        <v>12</v>
      </c>
      <c r="E385" t="s">
        <v>31</v>
      </c>
      <c r="F385">
        <v>93700</v>
      </c>
      <c r="G385" t="s">
        <v>19</v>
      </c>
      <c r="H385">
        <v>93700</v>
      </c>
      <c r="I385" t="s">
        <v>29</v>
      </c>
      <c r="J385">
        <v>100</v>
      </c>
      <c r="K385" t="s">
        <v>29</v>
      </c>
      <c r="L385" t="s">
        <v>25</v>
      </c>
    </row>
    <row r="386" spans="1:12" ht="14.25" x14ac:dyDescent="0.2">
      <c r="A386">
        <v>384</v>
      </c>
      <c r="B386">
        <v>2022</v>
      </c>
      <c r="C386" t="s">
        <v>53</v>
      </c>
      <c r="D386" t="s">
        <v>12</v>
      </c>
      <c r="E386" t="s">
        <v>133</v>
      </c>
      <c r="F386">
        <v>6000000</v>
      </c>
      <c r="G386" t="s">
        <v>39</v>
      </c>
      <c r="H386">
        <v>79039</v>
      </c>
      <c r="I386" t="s">
        <v>40</v>
      </c>
      <c r="J386">
        <v>50</v>
      </c>
      <c r="K386" t="s">
        <v>40</v>
      </c>
      <c r="L386" t="s">
        <v>16</v>
      </c>
    </row>
    <row r="387" spans="1:12" ht="14.25" x14ac:dyDescent="0.2">
      <c r="A387">
        <v>385</v>
      </c>
      <c r="B387">
        <v>2022</v>
      </c>
      <c r="C387" t="s">
        <v>17</v>
      </c>
      <c r="D387" t="s">
        <v>12</v>
      </c>
      <c r="E387" t="s">
        <v>43</v>
      </c>
      <c r="F387">
        <v>132320</v>
      </c>
      <c r="G387" t="s">
        <v>19</v>
      </c>
      <c r="H387">
        <v>132320</v>
      </c>
      <c r="I387" t="s">
        <v>29</v>
      </c>
      <c r="J387">
        <v>100</v>
      </c>
      <c r="K387" t="s">
        <v>29</v>
      </c>
      <c r="L387" t="s">
        <v>25</v>
      </c>
    </row>
    <row r="388" spans="1:12" ht="14.25" x14ac:dyDescent="0.2">
      <c r="A388">
        <v>386</v>
      </c>
      <c r="B388">
        <v>2022</v>
      </c>
      <c r="C388" t="s">
        <v>30</v>
      </c>
      <c r="D388" t="s">
        <v>12</v>
      </c>
      <c r="E388" t="s">
        <v>28</v>
      </c>
      <c r="F388">
        <v>28500</v>
      </c>
      <c r="G388" t="s">
        <v>23</v>
      </c>
      <c r="H388">
        <v>37300</v>
      </c>
      <c r="I388" t="s">
        <v>24</v>
      </c>
      <c r="J388">
        <v>100</v>
      </c>
      <c r="K388" t="s">
        <v>24</v>
      </c>
      <c r="L388" t="s">
        <v>16</v>
      </c>
    </row>
    <row r="389" spans="1:12" ht="14.25" x14ac:dyDescent="0.2">
      <c r="A389">
        <v>387</v>
      </c>
      <c r="B389">
        <v>2022</v>
      </c>
      <c r="C389" t="s">
        <v>17</v>
      </c>
      <c r="D389" t="s">
        <v>12</v>
      </c>
      <c r="E389" t="s">
        <v>31</v>
      </c>
      <c r="F389">
        <v>164000</v>
      </c>
      <c r="G389" t="s">
        <v>19</v>
      </c>
      <c r="H389">
        <v>164000</v>
      </c>
      <c r="I389" t="s">
        <v>29</v>
      </c>
      <c r="J389">
        <v>0</v>
      </c>
      <c r="K389" t="s">
        <v>29</v>
      </c>
      <c r="L389" t="s">
        <v>25</v>
      </c>
    </row>
    <row r="390" spans="1:12" ht="14.25" x14ac:dyDescent="0.2">
      <c r="A390">
        <v>388</v>
      </c>
      <c r="B390">
        <v>2022</v>
      </c>
      <c r="C390" t="s">
        <v>17</v>
      </c>
      <c r="D390" t="s">
        <v>12</v>
      </c>
      <c r="E390" t="s">
        <v>43</v>
      </c>
      <c r="F390">
        <v>155000</v>
      </c>
      <c r="G390" t="s">
        <v>19</v>
      </c>
      <c r="H390">
        <v>155000</v>
      </c>
      <c r="I390" t="s">
        <v>29</v>
      </c>
      <c r="J390">
        <v>100</v>
      </c>
      <c r="K390" t="s">
        <v>29</v>
      </c>
      <c r="L390" t="s">
        <v>25</v>
      </c>
    </row>
    <row r="391" spans="1:12" ht="14.25" x14ac:dyDescent="0.2">
      <c r="A391">
        <v>389</v>
      </c>
      <c r="B391">
        <v>2022</v>
      </c>
      <c r="C391" t="s">
        <v>11</v>
      </c>
      <c r="D391" t="s">
        <v>12</v>
      </c>
      <c r="E391" t="s">
        <v>28</v>
      </c>
      <c r="F391">
        <v>95000</v>
      </c>
      <c r="G391" t="s">
        <v>23</v>
      </c>
      <c r="H391">
        <v>124333</v>
      </c>
      <c r="I391" t="s">
        <v>24</v>
      </c>
      <c r="J391">
        <v>0</v>
      </c>
      <c r="K391" t="s">
        <v>24</v>
      </c>
      <c r="L391" t="s">
        <v>25</v>
      </c>
    </row>
    <row r="392" spans="1:12" ht="14.25" x14ac:dyDescent="0.2">
      <c r="A392">
        <v>390</v>
      </c>
      <c r="B392">
        <v>2022</v>
      </c>
      <c r="C392" t="s">
        <v>11</v>
      </c>
      <c r="D392" t="s">
        <v>12</v>
      </c>
      <c r="E392" t="s">
        <v>28</v>
      </c>
      <c r="F392">
        <v>75000</v>
      </c>
      <c r="G392" t="s">
        <v>23</v>
      </c>
      <c r="H392">
        <v>98158</v>
      </c>
      <c r="I392" t="s">
        <v>24</v>
      </c>
      <c r="J392">
        <v>0</v>
      </c>
      <c r="K392" t="s">
        <v>24</v>
      </c>
      <c r="L392" t="s">
        <v>25</v>
      </c>
    </row>
    <row r="393" spans="1:12" ht="14.25" x14ac:dyDescent="0.2">
      <c r="A393">
        <v>391</v>
      </c>
      <c r="B393">
        <v>2022</v>
      </c>
      <c r="C393" t="s">
        <v>11</v>
      </c>
      <c r="D393" t="s">
        <v>12</v>
      </c>
      <c r="E393" t="s">
        <v>70</v>
      </c>
      <c r="F393">
        <v>120000</v>
      </c>
      <c r="G393" t="s">
        <v>19</v>
      </c>
      <c r="H393">
        <v>120000</v>
      </c>
      <c r="I393" t="s">
        <v>29</v>
      </c>
      <c r="J393">
        <v>0</v>
      </c>
      <c r="K393" t="s">
        <v>29</v>
      </c>
      <c r="L393" t="s">
        <v>25</v>
      </c>
    </row>
    <row r="394" spans="1:12" ht="14.25" x14ac:dyDescent="0.2">
      <c r="A394">
        <v>392</v>
      </c>
      <c r="B394">
        <v>2022</v>
      </c>
      <c r="C394" t="s">
        <v>17</v>
      </c>
      <c r="D394" t="s">
        <v>12</v>
      </c>
      <c r="E394" t="s">
        <v>31</v>
      </c>
      <c r="F394">
        <v>112900</v>
      </c>
      <c r="G394" t="s">
        <v>19</v>
      </c>
      <c r="H394">
        <v>112900</v>
      </c>
      <c r="I394" t="s">
        <v>29</v>
      </c>
      <c r="J394">
        <v>100</v>
      </c>
      <c r="K394" t="s">
        <v>29</v>
      </c>
      <c r="L394" t="s">
        <v>25</v>
      </c>
    </row>
    <row r="395" spans="1:12" ht="14.25" x14ac:dyDescent="0.2">
      <c r="A395">
        <v>393</v>
      </c>
      <c r="B395">
        <v>2022</v>
      </c>
      <c r="C395" t="s">
        <v>17</v>
      </c>
      <c r="D395" t="s">
        <v>12</v>
      </c>
      <c r="E395" t="s">
        <v>31</v>
      </c>
      <c r="F395">
        <v>90320</v>
      </c>
      <c r="G395" t="s">
        <v>19</v>
      </c>
      <c r="H395">
        <v>90320</v>
      </c>
      <c r="I395" t="s">
        <v>29</v>
      </c>
      <c r="J395">
        <v>100</v>
      </c>
      <c r="K395" t="s">
        <v>29</v>
      </c>
      <c r="L395" t="s">
        <v>25</v>
      </c>
    </row>
    <row r="396" spans="1:12" ht="14.25" x14ac:dyDescent="0.2">
      <c r="A396">
        <v>394</v>
      </c>
      <c r="B396">
        <v>2022</v>
      </c>
      <c r="C396" t="s">
        <v>17</v>
      </c>
      <c r="D396" t="s">
        <v>12</v>
      </c>
      <c r="E396" t="s">
        <v>105</v>
      </c>
      <c r="F396">
        <v>145000</v>
      </c>
      <c r="G396" t="s">
        <v>19</v>
      </c>
      <c r="H396">
        <v>145000</v>
      </c>
      <c r="I396" t="s">
        <v>29</v>
      </c>
      <c r="J396">
        <v>100</v>
      </c>
      <c r="K396" t="s">
        <v>29</v>
      </c>
      <c r="L396" t="s">
        <v>25</v>
      </c>
    </row>
    <row r="397" spans="1:12" ht="14.25" x14ac:dyDescent="0.2">
      <c r="A397">
        <v>395</v>
      </c>
      <c r="B397">
        <v>2022</v>
      </c>
      <c r="C397" t="s">
        <v>17</v>
      </c>
      <c r="D397" t="s">
        <v>12</v>
      </c>
      <c r="E397" t="s">
        <v>105</v>
      </c>
      <c r="F397">
        <v>105400</v>
      </c>
      <c r="G397" t="s">
        <v>19</v>
      </c>
      <c r="H397">
        <v>105400</v>
      </c>
      <c r="I397" t="s">
        <v>29</v>
      </c>
      <c r="J397">
        <v>100</v>
      </c>
      <c r="K397" t="s">
        <v>29</v>
      </c>
      <c r="L397" t="s">
        <v>25</v>
      </c>
    </row>
    <row r="398" spans="1:12" ht="14.25" x14ac:dyDescent="0.2">
      <c r="A398">
        <v>396</v>
      </c>
      <c r="B398">
        <v>2022</v>
      </c>
      <c r="C398" t="s">
        <v>11</v>
      </c>
      <c r="D398" t="s">
        <v>12</v>
      </c>
      <c r="E398" t="s">
        <v>28</v>
      </c>
      <c r="F398">
        <v>80000</v>
      </c>
      <c r="G398" t="s">
        <v>14</v>
      </c>
      <c r="H398">
        <v>87932</v>
      </c>
      <c r="I398" t="s">
        <v>38</v>
      </c>
      <c r="J398">
        <v>100</v>
      </c>
      <c r="K398" t="s">
        <v>15</v>
      </c>
      <c r="L398" t="s">
        <v>25</v>
      </c>
    </row>
    <row r="399" spans="1:12" ht="14.25" x14ac:dyDescent="0.2">
      <c r="A399">
        <v>397</v>
      </c>
      <c r="B399">
        <v>2022</v>
      </c>
      <c r="C399" t="s">
        <v>11</v>
      </c>
      <c r="D399" t="s">
        <v>12</v>
      </c>
      <c r="E399" t="s">
        <v>43</v>
      </c>
      <c r="F399">
        <v>90000</v>
      </c>
      <c r="G399" t="s">
        <v>23</v>
      </c>
      <c r="H399">
        <v>117789</v>
      </c>
      <c r="I399" t="s">
        <v>24</v>
      </c>
      <c r="J399">
        <v>0</v>
      </c>
      <c r="K399" t="s">
        <v>24</v>
      </c>
      <c r="L399" t="s">
        <v>25</v>
      </c>
    </row>
    <row r="400" spans="1:12" ht="14.25" x14ac:dyDescent="0.2">
      <c r="A400">
        <v>398</v>
      </c>
      <c r="B400">
        <v>2022</v>
      </c>
      <c r="C400" t="s">
        <v>17</v>
      </c>
      <c r="D400" t="s">
        <v>12</v>
      </c>
      <c r="E400" t="s">
        <v>13</v>
      </c>
      <c r="F400">
        <v>215300</v>
      </c>
      <c r="G400" t="s">
        <v>19</v>
      </c>
      <c r="H400">
        <v>215300</v>
      </c>
      <c r="I400" t="s">
        <v>29</v>
      </c>
      <c r="J400">
        <v>100</v>
      </c>
      <c r="K400" t="s">
        <v>29</v>
      </c>
      <c r="L400" t="s">
        <v>16</v>
      </c>
    </row>
    <row r="401" spans="1:12" ht="14.25" x14ac:dyDescent="0.2">
      <c r="A401">
        <v>399</v>
      </c>
      <c r="B401">
        <v>2022</v>
      </c>
      <c r="C401" t="s">
        <v>17</v>
      </c>
      <c r="D401" t="s">
        <v>12</v>
      </c>
      <c r="E401" t="s">
        <v>13</v>
      </c>
      <c r="F401">
        <v>158200</v>
      </c>
      <c r="G401" t="s">
        <v>19</v>
      </c>
      <c r="H401">
        <v>158200</v>
      </c>
      <c r="I401" t="s">
        <v>29</v>
      </c>
      <c r="J401">
        <v>100</v>
      </c>
      <c r="K401" t="s">
        <v>29</v>
      </c>
      <c r="L401" t="s">
        <v>16</v>
      </c>
    </row>
    <row r="402" spans="1:12" ht="14.25" x14ac:dyDescent="0.2">
      <c r="A402">
        <v>400</v>
      </c>
      <c r="B402">
        <v>2022</v>
      </c>
      <c r="C402" t="s">
        <v>17</v>
      </c>
      <c r="D402" t="s">
        <v>12</v>
      </c>
      <c r="E402" t="s">
        <v>43</v>
      </c>
      <c r="F402">
        <v>209100</v>
      </c>
      <c r="G402" t="s">
        <v>19</v>
      </c>
      <c r="H402">
        <v>209100</v>
      </c>
      <c r="I402" t="s">
        <v>29</v>
      </c>
      <c r="J402">
        <v>100</v>
      </c>
      <c r="K402" t="s">
        <v>29</v>
      </c>
      <c r="L402" t="s">
        <v>16</v>
      </c>
    </row>
    <row r="403" spans="1:12" ht="14.25" x14ac:dyDescent="0.2">
      <c r="A403">
        <v>401</v>
      </c>
      <c r="B403">
        <v>2022</v>
      </c>
      <c r="C403" t="s">
        <v>17</v>
      </c>
      <c r="D403" t="s">
        <v>12</v>
      </c>
      <c r="E403" t="s">
        <v>43</v>
      </c>
      <c r="F403">
        <v>154600</v>
      </c>
      <c r="G403" t="s">
        <v>19</v>
      </c>
      <c r="H403">
        <v>154600</v>
      </c>
      <c r="I403" t="s">
        <v>29</v>
      </c>
      <c r="J403">
        <v>100</v>
      </c>
      <c r="K403" t="s">
        <v>29</v>
      </c>
      <c r="L403" t="s">
        <v>16</v>
      </c>
    </row>
    <row r="404" spans="1:12" ht="14.25" x14ac:dyDescent="0.2">
      <c r="A404">
        <v>402</v>
      </c>
      <c r="B404">
        <v>2022</v>
      </c>
      <c r="C404" t="s">
        <v>17</v>
      </c>
      <c r="D404" t="s">
        <v>12</v>
      </c>
      <c r="E404" t="s">
        <v>31</v>
      </c>
      <c r="F404">
        <v>115934</v>
      </c>
      <c r="G404" t="s">
        <v>19</v>
      </c>
      <c r="H404">
        <v>115934</v>
      </c>
      <c r="I404" t="s">
        <v>29</v>
      </c>
      <c r="J404">
        <v>0</v>
      </c>
      <c r="K404" t="s">
        <v>29</v>
      </c>
      <c r="L404" t="s">
        <v>25</v>
      </c>
    </row>
    <row r="405" spans="1:12" ht="14.25" x14ac:dyDescent="0.2">
      <c r="A405">
        <v>403</v>
      </c>
      <c r="B405">
        <v>2022</v>
      </c>
      <c r="C405" t="s">
        <v>17</v>
      </c>
      <c r="D405" t="s">
        <v>12</v>
      </c>
      <c r="E405" t="s">
        <v>31</v>
      </c>
      <c r="F405">
        <v>81666</v>
      </c>
      <c r="G405" t="s">
        <v>19</v>
      </c>
      <c r="H405">
        <v>81666</v>
      </c>
      <c r="I405" t="s">
        <v>29</v>
      </c>
      <c r="J405">
        <v>0</v>
      </c>
      <c r="K405" t="s">
        <v>29</v>
      </c>
      <c r="L405" t="s">
        <v>25</v>
      </c>
    </row>
    <row r="406" spans="1:12" ht="14.25" x14ac:dyDescent="0.2">
      <c r="A406">
        <v>404</v>
      </c>
      <c r="B406">
        <v>2022</v>
      </c>
      <c r="C406" t="s">
        <v>17</v>
      </c>
      <c r="D406" t="s">
        <v>12</v>
      </c>
      <c r="E406" t="s">
        <v>43</v>
      </c>
      <c r="F406">
        <v>175000</v>
      </c>
      <c r="G406" t="s">
        <v>19</v>
      </c>
      <c r="H406">
        <v>175000</v>
      </c>
      <c r="I406" t="s">
        <v>29</v>
      </c>
      <c r="J406">
        <v>100</v>
      </c>
      <c r="K406" t="s">
        <v>29</v>
      </c>
      <c r="L406" t="s">
        <v>25</v>
      </c>
    </row>
    <row r="407" spans="1:12" ht="14.25" x14ac:dyDescent="0.2">
      <c r="A407">
        <v>405</v>
      </c>
      <c r="B407">
        <v>2022</v>
      </c>
      <c r="C407" t="s">
        <v>11</v>
      </c>
      <c r="D407" t="s">
        <v>12</v>
      </c>
      <c r="E407" t="s">
        <v>43</v>
      </c>
      <c r="F407">
        <v>75000</v>
      </c>
      <c r="G407" t="s">
        <v>23</v>
      </c>
      <c r="H407">
        <v>98158</v>
      </c>
      <c r="I407" t="s">
        <v>24</v>
      </c>
      <c r="J407">
        <v>0</v>
      </c>
      <c r="K407" t="s">
        <v>24</v>
      </c>
      <c r="L407" t="s">
        <v>25</v>
      </c>
    </row>
    <row r="408" spans="1:12" ht="14.25" x14ac:dyDescent="0.2">
      <c r="A408">
        <v>406</v>
      </c>
      <c r="B408">
        <v>2022</v>
      </c>
      <c r="C408" t="s">
        <v>11</v>
      </c>
      <c r="D408" t="s">
        <v>12</v>
      </c>
      <c r="E408" t="s">
        <v>31</v>
      </c>
      <c r="F408">
        <v>58000</v>
      </c>
      <c r="G408" t="s">
        <v>19</v>
      </c>
      <c r="H408">
        <v>58000</v>
      </c>
      <c r="I408" t="s">
        <v>29</v>
      </c>
      <c r="J408">
        <v>0</v>
      </c>
      <c r="K408" t="s">
        <v>29</v>
      </c>
      <c r="L408" t="s">
        <v>21</v>
      </c>
    </row>
    <row r="409" spans="1:12" ht="14.25" x14ac:dyDescent="0.2">
      <c r="A409">
        <v>407</v>
      </c>
      <c r="B409">
        <v>2022</v>
      </c>
      <c r="C409" t="s">
        <v>17</v>
      </c>
      <c r="D409" t="s">
        <v>12</v>
      </c>
      <c r="E409" t="s">
        <v>43</v>
      </c>
      <c r="F409">
        <v>183600</v>
      </c>
      <c r="G409" t="s">
        <v>19</v>
      </c>
      <c r="H409">
        <v>183600</v>
      </c>
      <c r="I409" t="s">
        <v>29</v>
      </c>
      <c r="J409">
        <v>100</v>
      </c>
      <c r="K409" t="s">
        <v>29</v>
      </c>
      <c r="L409" t="s">
        <v>16</v>
      </c>
    </row>
    <row r="410" spans="1:12" ht="14.25" x14ac:dyDescent="0.2">
      <c r="A410">
        <v>408</v>
      </c>
      <c r="B410">
        <v>2022</v>
      </c>
      <c r="C410" t="s">
        <v>11</v>
      </c>
      <c r="D410" t="s">
        <v>12</v>
      </c>
      <c r="E410" t="s">
        <v>31</v>
      </c>
      <c r="F410">
        <v>40000</v>
      </c>
      <c r="G410" t="s">
        <v>23</v>
      </c>
      <c r="H410">
        <v>52351</v>
      </c>
      <c r="I410" t="s">
        <v>24</v>
      </c>
      <c r="J410">
        <v>100</v>
      </c>
      <c r="K410" t="s">
        <v>24</v>
      </c>
      <c r="L410" t="s">
        <v>25</v>
      </c>
    </row>
    <row r="411" spans="1:12" ht="14.25" x14ac:dyDescent="0.2">
      <c r="A411">
        <v>409</v>
      </c>
      <c r="B411">
        <v>2022</v>
      </c>
      <c r="C411" t="s">
        <v>17</v>
      </c>
      <c r="D411" t="s">
        <v>12</v>
      </c>
      <c r="E411" t="s">
        <v>13</v>
      </c>
      <c r="F411">
        <v>180000</v>
      </c>
      <c r="G411" t="s">
        <v>19</v>
      </c>
      <c r="H411">
        <v>180000</v>
      </c>
      <c r="I411" t="s">
        <v>29</v>
      </c>
      <c r="J411">
        <v>100</v>
      </c>
      <c r="K411" t="s">
        <v>29</v>
      </c>
      <c r="L411" t="s">
        <v>25</v>
      </c>
    </row>
    <row r="412" spans="1:12" ht="14.25" x14ac:dyDescent="0.2">
      <c r="A412">
        <v>410</v>
      </c>
      <c r="B412">
        <v>2022</v>
      </c>
      <c r="C412" t="s">
        <v>11</v>
      </c>
      <c r="D412" t="s">
        <v>12</v>
      </c>
      <c r="E412" t="s">
        <v>13</v>
      </c>
      <c r="F412">
        <v>55000</v>
      </c>
      <c r="G412" t="s">
        <v>23</v>
      </c>
      <c r="H412">
        <v>71982</v>
      </c>
      <c r="I412" t="s">
        <v>24</v>
      </c>
      <c r="J412">
        <v>0</v>
      </c>
      <c r="K412" t="s">
        <v>24</v>
      </c>
      <c r="L412" t="s">
        <v>25</v>
      </c>
    </row>
    <row r="413" spans="1:12" ht="14.25" x14ac:dyDescent="0.2">
      <c r="A413">
        <v>411</v>
      </c>
      <c r="B413">
        <v>2022</v>
      </c>
      <c r="C413" t="s">
        <v>11</v>
      </c>
      <c r="D413" t="s">
        <v>12</v>
      </c>
      <c r="E413" t="s">
        <v>13</v>
      </c>
      <c r="F413">
        <v>35000</v>
      </c>
      <c r="G413" t="s">
        <v>23</v>
      </c>
      <c r="H413">
        <v>45807</v>
      </c>
      <c r="I413" t="s">
        <v>24</v>
      </c>
      <c r="J413">
        <v>0</v>
      </c>
      <c r="K413" t="s">
        <v>24</v>
      </c>
      <c r="L413" t="s">
        <v>25</v>
      </c>
    </row>
    <row r="414" spans="1:12" ht="14.25" x14ac:dyDescent="0.2">
      <c r="A414">
        <v>412</v>
      </c>
      <c r="B414">
        <v>2022</v>
      </c>
      <c r="C414" t="s">
        <v>11</v>
      </c>
      <c r="D414" t="s">
        <v>12</v>
      </c>
      <c r="E414" t="s">
        <v>43</v>
      </c>
      <c r="F414">
        <v>60000</v>
      </c>
      <c r="G414" t="s">
        <v>14</v>
      </c>
      <c r="H414">
        <v>65949</v>
      </c>
      <c r="I414" t="s">
        <v>50</v>
      </c>
      <c r="J414">
        <v>100</v>
      </c>
      <c r="K414" t="s">
        <v>50</v>
      </c>
      <c r="L414" t="s">
        <v>25</v>
      </c>
    </row>
    <row r="415" spans="1:12" ht="14.25" x14ac:dyDescent="0.2">
      <c r="A415">
        <v>413</v>
      </c>
      <c r="B415">
        <v>2022</v>
      </c>
      <c r="C415" t="s">
        <v>11</v>
      </c>
      <c r="D415" t="s">
        <v>12</v>
      </c>
      <c r="E415" t="s">
        <v>43</v>
      </c>
      <c r="F415">
        <v>45000</v>
      </c>
      <c r="G415" t="s">
        <v>14</v>
      </c>
      <c r="H415">
        <v>49461</v>
      </c>
      <c r="I415" t="s">
        <v>50</v>
      </c>
      <c r="J415">
        <v>100</v>
      </c>
      <c r="K415" t="s">
        <v>50</v>
      </c>
      <c r="L415" t="s">
        <v>25</v>
      </c>
    </row>
    <row r="416" spans="1:12" ht="14.25" x14ac:dyDescent="0.2">
      <c r="A416">
        <v>414</v>
      </c>
      <c r="B416">
        <v>2022</v>
      </c>
      <c r="C416" t="s">
        <v>11</v>
      </c>
      <c r="D416" t="s">
        <v>12</v>
      </c>
      <c r="E416" t="s">
        <v>43</v>
      </c>
      <c r="F416">
        <v>60000</v>
      </c>
      <c r="G416" t="s">
        <v>23</v>
      </c>
      <c r="H416">
        <v>78526</v>
      </c>
      <c r="I416" t="s">
        <v>24</v>
      </c>
      <c r="J416">
        <v>100</v>
      </c>
      <c r="K416" t="s">
        <v>24</v>
      </c>
      <c r="L416" t="s">
        <v>25</v>
      </c>
    </row>
    <row r="417" spans="1:12" ht="14.25" x14ac:dyDescent="0.2">
      <c r="A417">
        <v>415</v>
      </c>
      <c r="B417">
        <v>2022</v>
      </c>
      <c r="C417" t="s">
        <v>11</v>
      </c>
      <c r="D417" t="s">
        <v>12</v>
      </c>
      <c r="E417" t="s">
        <v>43</v>
      </c>
      <c r="F417">
        <v>45000</v>
      </c>
      <c r="G417" t="s">
        <v>23</v>
      </c>
      <c r="H417">
        <v>58894</v>
      </c>
      <c r="I417" t="s">
        <v>24</v>
      </c>
      <c r="J417">
        <v>100</v>
      </c>
      <c r="K417" t="s">
        <v>24</v>
      </c>
      <c r="L417" t="s">
        <v>25</v>
      </c>
    </row>
    <row r="418" spans="1:12" ht="14.25" x14ac:dyDescent="0.2">
      <c r="A418">
        <v>416</v>
      </c>
      <c r="B418">
        <v>2022</v>
      </c>
      <c r="C418" t="s">
        <v>17</v>
      </c>
      <c r="D418" t="s">
        <v>12</v>
      </c>
      <c r="E418" t="s">
        <v>13</v>
      </c>
      <c r="F418">
        <v>260000</v>
      </c>
      <c r="G418" t="s">
        <v>19</v>
      </c>
      <c r="H418">
        <v>260000</v>
      </c>
      <c r="I418" t="s">
        <v>29</v>
      </c>
      <c r="J418">
        <v>100</v>
      </c>
      <c r="K418" t="s">
        <v>29</v>
      </c>
      <c r="L418" t="s">
        <v>25</v>
      </c>
    </row>
    <row r="419" spans="1:12" ht="14.25" x14ac:dyDescent="0.2">
      <c r="A419">
        <v>417</v>
      </c>
      <c r="B419">
        <v>2022</v>
      </c>
      <c r="C419" t="s">
        <v>17</v>
      </c>
      <c r="D419" t="s">
        <v>12</v>
      </c>
      <c r="E419" t="s">
        <v>95</v>
      </c>
      <c r="F419">
        <v>60000</v>
      </c>
      <c r="G419" t="s">
        <v>19</v>
      </c>
      <c r="H419">
        <v>60000</v>
      </c>
      <c r="I419" t="s">
        <v>134</v>
      </c>
      <c r="J419">
        <v>100</v>
      </c>
      <c r="K419" t="s">
        <v>58</v>
      </c>
      <c r="L419" t="s">
        <v>16</v>
      </c>
    </row>
    <row r="420" spans="1:12" ht="14.25" x14ac:dyDescent="0.2">
      <c r="A420">
        <v>418</v>
      </c>
      <c r="B420">
        <v>2022</v>
      </c>
      <c r="C420" t="s">
        <v>11</v>
      </c>
      <c r="D420" t="s">
        <v>12</v>
      </c>
      <c r="E420" t="s">
        <v>43</v>
      </c>
      <c r="F420">
        <v>63900</v>
      </c>
      <c r="G420" t="s">
        <v>19</v>
      </c>
      <c r="H420">
        <v>63900</v>
      </c>
      <c r="I420" t="s">
        <v>29</v>
      </c>
      <c r="J420">
        <v>0</v>
      </c>
      <c r="K420" t="s">
        <v>29</v>
      </c>
      <c r="L420" t="s">
        <v>25</v>
      </c>
    </row>
    <row r="421" spans="1:12" ht="14.25" x14ac:dyDescent="0.2">
      <c r="A421">
        <v>419</v>
      </c>
      <c r="B421">
        <v>2022</v>
      </c>
      <c r="C421" t="s">
        <v>11</v>
      </c>
      <c r="D421" t="s">
        <v>12</v>
      </c>
      <c r="E421" t="s">
        <v>18</v>
      </c>
      <c r="F421">
        <v>160000</v>
      </c>
      <c r="G421" t="s">
        <v>19</v>
      </c>
      <c r="H421">
        <v>160000</v>
      </c>
      <c r="I421" t="s">
        <v>29</v>
      </c>
      <c r="J421">
        <v>100</v>
      </c>
      <c r="K421" t="s">
        <v>29</v>
      </c>
      <c r="L421" t="s">
        <v>16</v>
      </c>
    </row>
    <row r="422" spans="1:12" ht="14.25" x14ac:dyDescent="0.2">
      <c r="A422">
        <v>420</v>
      </c>
      <c r="B422">
        <v>2022</v>
      </c>
      <c r="C422" t="s">
        <v>11</v>
      </c>
      <c r="D422" t="s">
        <v>12</v>
      </c>
      <c r="E422" t="s">
        <v>18</v>
      </c>
      <c r="F422">
        <v>112300</v>
      </c>
      <c r="G422" t="s">
        <v>19</v>
      </c>
      <c r="H422">
        <v>112300</v>
      </c>
      <c r="I422" t="s">
        <v>29</v>
      </c>
      <c r="J422">
        <v>100</v>
      </c>
      <c r="K422" t="s">
        <v>29</v>
      </c>
      <c r="L422" t="s">
        <v>16</v>
      </c>
    </row>
    <row r="423" spans="1:12" ht="14.25" x14ac:dyDescent="0.2">
      <c r="A423">
        <v>421</v>
      </c>
      <c r="B423">
        <v>2022</v>
      </c>
      <c r="C423" t="s">
        <v>11</v>
      </c>
      <c r="D423" t="s">
        <v>12</v>
      </c>
      <c r="E423" t="s">
        <v>79</v>
      </c>
      <c r="F423">
        <v>241000</v>
      </c>
      <c r="G423" t="s">
        <v>19</v>
      </c>
      <c r="H423">
        <v>241000</v>
      </c>
      <c r="I423" t="s">
        <v>29</v>
      </c>
      <c r="J423">
        <v>100</v>
      </c>
      <c r="K423" t="s">
        <v>29</v>
      </c>
      <c r="L423" t="s">
        <v>25</v>
      </c>
    </row>
    <row r="424" spans="1:12" ht="14.25" x14ac:dyDescent="0.2">
      <c r="A424">
        <v>422</v>
      </c>
      <c r="B424">
        <v>2022</v>
      </c>
      <c r="C424" t="s">
        <v>11</v>
      </c>
      <c r="D424" t="s">
        <v>12</v>
      </c>
      <c r="E424" t="s">
        <v>79</v>
      </c>
      <c r="F424">
        <v>159000</v>
      </c>
      <c r="G424" t="s">
        <v>19</v>
      </c>
      <c r="H424">
        <v>159000</v>
      </c>
      <c r="I424" t="s">
        <v>29</v>
      </c>
      <c r="J424">
        <v>100</v>
      </c>
      <c r="K424" t="s">
        <v>29</v>
      </c>
      <c r="L424" t="s">
        <v>25</v>
      </c>
    </row>
    <row r="425" spans="1:12" ht="14.25" x14ac:dyDescent="0.2">
      <c r="A425">
        <v>423</v>
      </c>
      <c r="B425">
        <v>2022</v>
      </c>
      <c r="C425" t="s">
        <v>17</v>
      </c>
      <c r="D425" t="s">
        <v>12</v>
      </c>
      <c r="E425" t="s">
        <v>13</v>
      </c>
      <c r="F425">
        <v>180000</v>
      </c>
      <c r="G425" t="s">
        <v>19</v>
      </c>
      <c r="H425">
        <v>180000</v>
      </c>
      <c r="I425" t="s">
        <v>29</v>
      </c>
      <c r="J425">
        <v>0</v>
      </c>
      <c r="K425" t="s">
        <v>29</v>
      </c>
      <c r="L425" t="s">
        <v>25</v>
      </c>
    </row>
    <row r="426" spans="1:12" ht="14.25" x14ac:dyDescent="0.2">
      <c r="A426">
        <v>424</v>
      </c>
      <c r="B426">
        <v>2022</v>
      </c>
      <c r="C426" t="s">
        <v>17</v>
      </c>
      <c r="D426" t="s">
        <v>12</v>
      </c>
      <c r="E426" t="s">
        <v>13</v>
      </c>
      <c r="F426">
        <v>80000</v>
      </c>
      <c r="G426" t="s">
        <v>19</v>
      </c>
      <c r="H426">
        <v>80000</v>
      </c>
      <c r="I426" t="s">
        <v>29</v>
      </c>
      <c r="J426">
        <v>0</v>
      </c>
      <c r="K426" t="s">
        <v>29</v>
      </c>
      <c r="L426" t="s">
        <v>25</v>
      </c>
    </row>
    <row r="427" spans="1:12" ht="14.25" x14ac:dyDescent="0.2">
      <c r="A427">
        <v>425</v>
      </c>
      <c r="B427">
        <v>2022</v>
      </c>
      <c r="C427" t="s">
        <v>11</v>
      </c>
      <c r="D427" t="s">
        <v>12</v>
      </c>
      <c r="E427" t="s">
        <v>43</v>
      </c>
      <c r="F427">
        <v>82900</v>
      </c>
      <c r="G427" t="s">
        <v>19</v>
      </c>
      <c r="H427">
        <v>82900</v>
      </c>
      <c r="I427" t="s">
        <v>29</v>
      </c>
      <c r="J427">
        <v>0</v>
      </c>
      <c r="K427" t="s">
        <v>29</v>
      </c>
      <c r="L427" t="s">
        <v>25</v>
      </c>
    </row>
    <row r="428" spans="1:12" ht="14.25" x14ac:dyDescent="0.2">
      <c r="A428">
        <v>426</v>
      </c>
      <c r="B428">
        <v>2022</v>
      </c>
      <c r="C428" t="s">
        <v>17</v>
      </c>
      <c r="D428" t="s">
        <v>12</v>
      </c>
      <c r="E428" t="s">
        <v>43</v>
      </c>
      <c r="F428">
        <v>100800</v>
      </c>
      <c r="G428" t="s">
        <v>19</v>
      </c>
      <c r="H428">
        <v>100800</v>
      </c>
      <c r="I428" t="s">
        <v>29</v>
      </c>
      <c r="J428">
        <v>100</v>
      </c>
      <c r="K428" t="s">
        <v>29</v>
      </c>
      <c r="L428" t="s">
        <v>16</v>
      </c>
    </row>
    <row r="429" spans="1:12" ht="14.25" x14ac:dyDescent="0.2">
      <c r="A429">
        <v>427</v>
      </c>
      <c r="B429">
        <v>2022</v>
      </c>
      <c r="C429" t="s">
        <v>11</v>
      </c>
      <c r="D429" t="s">
        <v>12</v>
      </c>
      <c r="E429" t="s">
        <v>43</v>
      </c>
      <c r="F429">
        <v>45000</v>
      </c>
      <c r="G429" t="s">
        <v>14</v>
      </c>
      <c r="H429">
        <v>49461</v>
      </c>
      <c r="I429" t="s">
        <v>67</v>
      </c>
      <c r="J429">
        <v>100</v>
      </c>
      <c r="K429" t="s">
        <v>67</v>
      </c>
      <c r="L429" t="s">
        <v>25</v>
      </c>
    </row>
    <row r="430" spans="1:12" ht="14.25" x14ac:dyDescent="0.2">
      <c r="A430">
        <v>428</v>
      </c>
      <c r="B430">
        <v>2022</v>
      </c>
      <c r="C430" t="s">
        <v>17</v>
      </c>
      <c r="D430" t="s">
        <v>12</v>
      </c>
      <c r="E430" t="s">
        <v>13</v>
      </c>
      <c r="F430">
        <v>140400</v>
      </c>
      <c r="G430" t="s">
        <v>19</v>
      </c>
      <c r="H430">
        <v>140400</v>
      </c>
      <c r="I430" t="s">
        <v>29</v>
      </c>
      <c r="J430">
        <v>0</v>
      </c>
      <c r="K430" t="s">
        <v>29</v>
      </c>
      <c r="L430" t="s">
        <v>16</v>
      </c>
    </row>
    <row r="431" spans="1:12" ht="14.25" x14ac:dyDescent="0.2">
      <c r="A431">
        <v>429</v>
      </c>
      <c r="B431">
        <v>2022</v>
      </c>
      <c r="C431" t="s">
        <v>11</v>
      </c>
      <c r="D431" t="s">
        <v>12</v>
      </c>
      <c r="E431" t="s">
        <v>31</v>
      </c>
      <c r="F431">
        <v>30000</v>
      </c>
      <c r="G431" t="s">
        <v>23</v>
      </c>
      <c r="H431">
        <v>39263</v>
      </c>
      <c r="I431" t="s">
        <v>24</v>
      </c>
      <c r="J431">
        <v>100</v>
      </c>
      <c r="K431" t="s">
        <v>24</v>
      </c>
      <c r="L431" t="s">
        <v>25</v>
      </c>
    </row>
    <row r="432" spans="1:12" ht="14.25" x14ac:dyDescent="0.2">
      <c r="A432">
        <v>430</v>
      </c>
      <c r="B432">
        <v>2022</v>
      </c>
      <c r="C432" t="s">
        <v>11</v>
      </c>
      <c r="D432" t="s">
        <v>12</v>
      </c>
      <c r="E432" t="s">
        <v>31</v>
      </c>
      <c r="F432">
        <v>40000</v>
      </c>
      <c r="G432" t="s">
        <v>14</v>
      </c>
      <c r="H432">
        <v>43966</v>
      </c>
      <c r="I432" t="s">
        <v>67</v>
      </c>
      <c r="J432">
        <v>100</v>
      </c>
      <c r="K432" t="s">
        <v>67</v>
      </c>
      <c r="L432" t="s">
        <v>25</v>
      </c>
    </row>
    <row r="433" spans="1:12" ht="14.25" x14ac:dyDescent="0.2">
      <c r="A433">
        <v>431</v>
      </c>
      <c r="B433">
        <v>2022</v>
      </c>
      <c r="C433" t="s">
        <v>11</v>
      </c>
      <c r="D433" t="s">
        <v>12</v>
      </c>
      <c r="E433" t="s">
        <v>31</v>
      </c>
      <c r="F433">
        <v>30000</v>
      </c>
      <c r="G433" t="s">
        <v>14</v>
      </c>
      <c r="H433">
        <v>32974</v>
      </c>
      <c r="I433" t="s">
        <v>67</v>
      </c>
      <c r="J433">
        <v>100</v>
      </c>
      <c r="K433" t="s">
        <v>67</v>
      </c>
      <c r="L433" t="s">
        <v>25</v>
      </c>
    </row>
    <row r="434" spans="1:12" ht="14.25" x14ac:dyDescent="0.2">
      <c r="A434">
        <v>432</v>
      </c>
      <c r="B434">
        <v>2022</v>
      </c>
      <c r="C434" t="s">
        <v>11</v>
      </c>
      <c r="D434" t="s">
        <v>12</v>
      </c>
      <c r="E434" t="s">
        <v>43</v>
      </c>
      <c r="F434">
        <v>80000</v>
      </c>
      <c r="G434" t="s">
        <v>14</v>
      </c>
      <c r="H434">
        <v>87932</v>
      </c>
      <c r="I434" t="s">
        <v>67</v>
      </c>
      <c r="J434">
        <v>100</v>
      </c>
      <c r="K434" t="s">
        <v>67</v>
      </c>
      <c r="L434" t="s">
        <v>25</v>
      </c>
    </row>
    <row r="435" spans="1:12" ht="14.25" x14ac:dyDescent="0.2">
      <c r="A435">
        <v>433</v>
      </c>
      <c r="B435">
        <v>2022</v>
      </c>
      <c r="C435" t="s">
        <v>11</v>
      </c>
      <c r="D435" t="s">
        <v>12</v>
      </c>
      <c r="E435" t="s">
        <v>43</v>
      </c>
      <c r="F435">
        <v>70000</v>
      </c>
      <c r="G435" t="s">
        <v>14</v>
      </c>
      <c r="H435">
        <v>76940</v>
      </c>
      <c r="I435" t="s">
        <v>67</v>
      </c>
      <c r="J435">
        <v>100</v>
      </c>
      <c r="K435" t="s">
        <v>67</v>
      </c>
      <c r="L435" t="s">
        <v>25</v>
      </c>
    </row>
    <row r="436" spans="1:12" ht="14.25" x14ac:dyDescent="0.2">
      <c r="A436">
        <v>434</v>
      </c>
      <c r="B436">
        <v>2022</v>
      </c>
      <c r="C436" t="s">
        <v>11</v>
      </c>
      <c r="D436" t="s">
        <v>12</v>
      </c>
      <c r="E436" t="s">
        <v>43</v>
      </c>
      <c r="F436">
        <v>80000</v>
      </c>
      <c r="G436" t="s">
        <v>23</v>
      </c>
      <c r="H436">
        <v>104702</v>
      </c>
      <c r="I436" t="s">
        <v>24</v>
      </c>
      <c r="J436">
        <v>100</v>
      </c>
      <c r="K436" t="s">
        <v>24</v>
      </c>
      <c r="L436" t="s">
        <v>25</v>
      </c>
    </row>
    <row r="437" spans="1:12" ht="14.25" x14ac:dyDescent="0.2">
      <c r="A437">
        <v>435</v>
      </c>
      <c r="B437">
        <v>2022</v>
      </c>
      <c r="C437" t="s">
        <v>11</v>
      </c>
      <c r="D437" t="s">
        <v>12</v>
      </c>
      <c r="E437" t="s">
        <v>43</v>
      </c>
      <c r="F437">
        <v>70000</v>
      </c>
      <c r="G437" t="s">
        <v>23</v>
      </c>
      <c r="H437">
        <v>91614</v>
      </c>
      <c r="I437" t="s">
        <v>24</v>
      </c>
      <c r="J437">
        <v>100</v>
      </c>
      <c r="K437" t="s">
        <v>24</v>
      </c>
      <c r="L437" t="s">
        <v>25</v>
      </c>
    </row>
    <row r="438" spans="1:12" ht="14.25" x14ac:dyDescent="0.2">
      <c r="A438">
        <v>436</v>
      </c>
      <c r="B438">
        <v>2022</v>
      </c>
      <c r="C438" t="s">
        <v>11</v>
      </c>
      <c r="D438" t="s">
        <v>12</v>
      </c>
      <c r="E438" t="s">
        <v>43</v>
      </c>
      <c r="F438">
        <v>60000</v>
      </c>
      <c r="G438" t="s">
        <v>14</v>
      </c>
      <c r="H438">
        <v>65949</v>
      </c>
      <c r="I438" t="s">
        <v>67</v>
      </c>
      <c r="J438">
        <v>100</v>
      </c>
      <c r="K438" t="s">
        <v>67</v>
      </c>
      <c r="L438" t="s">
        <v>25</v>
      </c>
    </row>
    <row r="439" spans="1:12" ht="14.25" x14ac:dyDescent="0.2">
      <c r="A439">
        <v>437</v>
      </c>
      <c r="B439">
        <v>2022</v>
      </c>
      <c r="C439" t="s">
        <v>11</v>
      </c>
      <c r="D439" t="s">
        <v>12</v>
      </c>
      <c r="E439" t="s">
        <v>43</v>
      </c>
      <c r="F439">
        <v>80000</v>
      </c>
      <c r="G439" t="s">
        <v>14</v>
      </c>
      <c r="H439">
        <v>87932</v>
      </c>
      <c r="I439" t="s">
        <v>50</v>
      </c>
      <c r="J439">
        <v>100</v>
      </c>
      <c r="K439" t="s">
        <v>50</v>
      </c>
      <c r="L439" t="s">
        <v>25</v>
      </c>
    </row>
    <row r="440" spans="1:12" ht="14.25" x14ac:dyDescent="0.2">
      <c r="A440">
        <v>438</v>
      </c>
      <c r="B440">
        <v>2022</v>
      </c>
      <c r="C440" t="s">
        <v>17</v>
      </c>
      <c r="D440" t="s">
        <v>12</v>
      </c>
      <c r="E440" t="s">
        <v>28</v>
      </c>
      <c r="F440">
        <v>189650</v>
      </c>
      <c r="G440" t="s">
        <v>19</v>
      </c>
      <c r="H440">
        <v>189650</v>
      </c>
      <c r="I440" t="s">
        <v>29</v>
      </c>
      <c r="J440">
        <v>0</v>
      </c>
      <c r="K440" t="s">
        <v>29</v>
      </c>
      <c r="L440" t="s">
        <v>25</v>
      </c>
    </row>
    <row r="441" spans="1:12" ht="14.25" x14ac:dyDescent="0.2">
      <c r="A441">
        <v>439</v>
      </c>
      <c r="B441">
        <v>2022</v>
      </c>
      <c r="C441" t="s">
        <v>17</v>
      </c>
      <c r="D441" t="s">
        <v>12</v>
      </c>
      <c r="E441" t="s">
        <v>28</v>
      </c>
      <c r="F441">
        <v>164996</v>
      </c>
      <c r="G441" t="s">
        <v>19</v>
      </c>
      <c r="H441">
        <v>164996</v>
      </c>
      <c r="I441" t="s">
        <v>29</v>
      </c>
      <c r="J441">
        <v>0</v>
      </c>
      <c r="K441" t="s">
        <v>29</v>
      </c>
      <c r="L441" t="s">
        <v>25</v>
      </c>
    </row>
    <row r="442" spans="1:12" ht="14.25" x14ac:dyDescent="0.2">
      <c r="A442">
        <v>440</v>
      </c>
      <c r="B442">
        <v>2022</v>
      </c>
      <c r="C442" t="s">
        <v>11</v>
      </c>
      <c r="D442" t="s">
        <v>12</v>
      </c>
      <c r="E442" t="s">
        <v>31</v>
      </c>
      <c r="F442">
        <v>40000</v>
      </c>
      <c r="G442" t="s">
        <v>14</v>
      </c>
      <c r="H442">
        <v>43966</v>
      </c>
      <c r="I442" t="s">
        <v>50</v>
      </c>
      <c r="J442">
        <v>100</v>
      </c>
      <c r="K442" t="s">
        <v>50</v>
      </c>
      <c r="L442" t="s">
        <v>25</v>
      </c>
    </row>
    <row r="443" spans="1:12" ht="14.25" x14ac:dyDescent="0.2">
      <c r="A443">
        <v>441</v>
      </c>
      <c r="B443">
        <v>2022</v>
      </c>
      <c r="C443" t="s">
        <v>11</v>
      </c>
      <c r="D443" t="s">
        <v>12</v>
      </c>
      <c r="E443" t="s">
        <v>31</v>
      </c>
      <c r="F443">
        <v>30000</v>
      </c>
      <c r="G443" t="s">
        <v>14</v>
      </c>
      <c r="H443">
        <v>32974</v>
      </c>
      <c r="I443" t="s">
        <v>50</v>
      </c>
      <c r="J443">
        <v>100</v>
      </c>
      <c r="K443" t="s">
        <v>50</v>
      </c>
      <c r="L443" t="s">
        <v>25</v>
      </c>
    </row>
    <row r="444" spans="1:12" ht="14.25" x14ac:dyDescent="0.2">
      <c r="A444">
        <v>442</v>
      </c>
      <c r="B444">
        <v>2022</v>
      </c>
      <c r="C444" t="s">
        <v>11</v>
      </c>
      <c r="D444" t="s">
        <v>12</v>
      </c>
      <c r="E444" t="s">
        <v>43</v>
      </c>
      <c r="F444">
        <v>75000</v>
      </c>
      <c r="G444" t="s">
        <v>23</v>
      </c>
      <c r="H444">
        <v>98158</v>
      </c>
      <c r="I444" t="s">
        <v>24</v>
      </c>
      <c r="J444">
        <v>100</v>
      </c>
      <c r="K444" t="s">
        <v>24</v>
      </c>
      <c r="L444" t="s">
        <v>25</v>
      </c>
    </row>
    <row r="445" spans="1:12" ht="14.25" x14ac:dyDescent="0.2">
      <c r="A445">
        <v>443</v>
      </c>
      <c r="B445">
        <v>2022</v>
      </c>
      <c r="C445" t="s">
        <v>11</v>
      </c>
      <c r="D445" t="s">
        <v>12</v>
      </c>
      <c r="E445" t="s">
        <v>43</v>
      </c>
      <c r="F445">
        <v>60000</v>
      </c>
      <c r="G445" t="s">
        <v>23</v>
      </c>
      <c r="H445">
        <v>78526</v>
      </c>
      <c r="I445" t="s">
        <v>24</v>
      </c>
      <c r="J445">
        <v>100</v>
      </c>
      <c r="K445" t="s">
        <v>24</v>
      </c>
      <c r="L445" t="s">
        <v>25</v>
      </c>
    </row>
    <row r="446" spans="1:12" ht="14.25" x14ac:dyDescent="0.2">
      <c r="A446">
        <v>444</v>
      </c>
      <c r="B446">
        <v>2022</v>
      </c>
      <c r="C446" t="s">
        <v>17</v>
      </c>
      <c r="D446" t="s">
        <v>12</v>
      </c>
      <c r="E446" t="s">
        <v>13</v>
      </c>
      <c r="F446">
        <v>215300</v>
      </c>
      <c r="G446" t="s">
        <v>19</v>
      </c>
      <c r="H446">
        <v>215300</v>
      </c>
      <c r="I446" t="s">
        <v>29</v>
      </c>
      <c r="J446">
        <v>0</v>
      </c>
      <c r="K446" t="s">
        <v>29</v>
      </c>
      <c r="L446" t="s">
        <v>16</v>
      </c>
    </row>
    <row r="447" spans="1:12" ht="14.25" x14ac:dyDescent="0.2">
      <c r="A447">
        <v>445</v>
      </c>
      <c r="B447">
        <v>2022</v>
      </c>
      <c r="C447" t="s">
        <v>11</v>
      </c>
      <c r="D447" t="s">
        <v>12</v>
      </c>
      <c r="E447" t="s">
        <v>43</v>
      </c>
      <c r="F447">
        <v>70000</v>
      </c>
      <c r="G447" t="s">
        <v>14</v>
      </c>
      <c r="H447">
        <v>76940</v>
      </c>
      <c r="I447" t="s">
        <v>50</v>
      </c>
      <c r="J447">
        <v>100</v>
      </c>
      <c r="K447" t="s">
        <v>50</v>
      </c>
      <c r="L447" t="s">
        <v>25</v>
      </c>
    </row>
    <row r="448" spans="1:12" ht="14.25" x14ac:dyDescent="0.2">
      <c r="A448">
        <v>446</v>
      </c>
      <c r="B448">
        <v>2022</v>
      </c>
      <c r="C448" t="s">
        <v>17</v>
      </c>
      <c r="D448" t="s">
        <v>12</v>
      </c>
      <c r="E448" t="s">
        <v>43</v>
      </c>
      <c r="F448">
        <v>209100</v>
      </c>
      <c r="G448" t="s">
        <v>19</v>
      </c>
      <c r="H448">
        <v>209100</v>
      </c>
      <c r="I448" t="s">
        <v>29</v>
      </c>
      <c r="J448">
        <v>100</v>
      </c>
      <c r="K448" t="s">
        <v>29</v>
      </c>
      <c r="L448" t="s">
        <v>16</v>
      </c>
    </row>
    <row r="449" spans="1:12" ht="14.25" x14ac:dyDescent="0.2">
      <c r="A449">
        <v>447</v>
      </c>
      <c r="B449">
        <v>2022</v>
      </c>
      <c r="C449" t="s">
        <v>17</v>
      </c>
      <c r="D449" t="s">
        <v>12</v>
      </c>
      <c r="E449" t="s">
        <v>43</v>
      </c>
      <c r="F449">
        <v>154600</v>
      </c>
      <c r="G449" t="s">
        <v>19</v>
      </c>
      <c r="H449">
        <v>154600</v>
      </c>
      <c r="I449" t="s">
        <v>29</v>
      </c>
      <c r="J449">
        <v>100</v>
      </c>
      <c r="K449" t="s">
        <v>29</v>
      </c>
      <c r="L449" t="s">
        <v>16</v>
      </c>
    </row>
    <row r="450" spans="1:12" ht="14.25" x14ac:dyDescent="0.2">
      <c r="A450">
        <v>448</v>
      </c>
      <c r="B450">
        <v>2022</v>
      </c>
      <c r="C450" t="s">
        <v>17</v>
      </c>
      <c r="D450" t="s">
        <v>12</v>
      </c>
      <c r="E450" t="s">
        <v>43</v>
      </c>
      <c r="F450">
        <v>180000</v>
      </c>
      <c r="G450" t="s">
        <v>19</v>
      </c>
      <c r="H450">
        <v>180000</v>
      </c>
      <c r="I450" t="s">
        <v>29</v>
      </c>
      <c r="J450">
        <v>100</v>
      </c>
      <c r="K450" t="s">
        <v>29</v>
      </c>
      <c r="L450" t="s">
        <v>25</v>
      </c>
    </row>
    <row r="451" spans="1:12" ht="14.25" x14ac:dyDescent="0.2">
      <c r="A451">
        <v>449</v>
      </c>
      <c r="B451">
        <v>2022</v>
      </c>
      <c r="C451" t="s">
        <v>30</v>
      </c>
      <c r="D451" t="s">
        <v>12</v>
      </c>
      <c r="E451" t="s">
        <v>69</v>
      </c>
      <c r="F451">
        <v>20000</v>
      </c>
      <c r="G451" t="s">
        <v>14</v>
      </c>
      <c r="H451">
        <v>21983</v>
      </c>
      <c r="I451" t="s">
        <v>47</v>
      </c>
      <c r="J451">
        <v>100</v>
      </c>
      <c r="K451" t="s">
        <v>47</v>
      </c>
      <c r="L451" t="s">
        <v>16</v>
      </c>
    </row>
    <row r="452" spans="1:12" ht="14.25" x14ac:dyDescent="0.2">
      <c r="A452">
        <v>450</v>
      </c>
      <c r="B452">
        <v>2022</v>
      </c>
      <c r="C452" t="s">
        <v>17</v>
      </c>
      <c r="D452" t="s">
        <v>12</v>
      </c>
      <c r="E452" t="s">
        <v>43</v>
      </c>
      <c r="F452">
        <v>80000</v>
      </c>
      <c r="G452" t="s">
        <v>19</v>
      </c>
      <c r="H452">
        <v>80000</v>
      </c>
      <c r="I452" t="s">
        <v>29</v>
      </c>
      <c r="J452">
        <v>100</v>
      </c>
      <c r="K452" t="s">
        <v>29</v>
      </c>
      <c r="L452" t="s">
        <v>25</v>
      </c>
    </row>
    <row r="453" spans="1:12" ht="14.25" x14ac:dyDescent="0.2">
      <c r="A453">
        <v>451</v>
      </c>
      <c r="B453">
        <v>2022</v>
      </c>
      <c r="C453" t="s">
        <v>11</v>
      </c>
      <c r="D453" t="s">
        <v>12</v>
      </c>
      <c r="E453" t="s">
        <v>98</v>
      </c>
      <c r="F453">
        <v>100000</v>
      </c>
      <c r="G453" t="s">
        <v>61</v>
      </c>
      <c r="H453">
        <v>78791</v>
      </c>
      <c r="I453" t="s">
        <v>62</v>
      </c>
      <c r="J453">
        <v>100</v>
      </c>
      <c r="K453" t="s">
        <v>62</v>
      </c>
      <c r="L453" t="s">
        <v>25</v>
      </c>
    </row>
    <row r="454" spans="1:12" ht="14.25" x14ac:dyDescent="0.2">
      <c r="A454">
        <v>452</v>
      </c>
      <c r="B454">
        <v>2022</v>
      </c>
      <c r="C454" t="s">
        <v>53</v>
      </c>
      <c r="D454" t="s">
        <v>12</v>
      </c>
      <c r="E454" t="s">
        <v>54</v>
      </c>
      <c r="F454">
        <v>250000</v>
      </c>
      <c r="G454" t="s">
        <v>61</v>
      </c>
      <c r="H454">
        <v>196979</v>
      </c>
      <c r="I454" t="s">
        <v>62</v>
      </c>
      <c r="J454">
        <v>50</v>
      </c>
      <c r="K454" t="s">
        <v>62</v>
      </c>
      <c r="L454" t="s">
        <v>16</v>
      </c>
    </row>
    <row r="455" spans="1:12" ht="14.25" x14ac:dyDescent="0.2">
      <c r="A455">
        <v>453</v>
      </c>
      <c r="B455">
        <v>2022</v>
      </c>
      <c r="C455" t="s">
        <v>11</v>
      </c>
      <c r="D455" t="s">
        <v>12</v>
      </c>
      <c r="E455" t="s">
        <v>28</v>
      </c>
      <c r="F455">
        <v>120000</v>
      </c>
      <c r="G455" t="s">
        <v>19</v>
      </c>
      <c r="H455">
        <v>120000</v>
      </c>
      <c r="I455" t="s">
        <v>29</v>
      </c>
      <c r="J455">
        <v>100</v>
      </c>
      <c r="K455" t="s">
        <v>29</v>
      </c>
      <c r="L455" t="s">
        <v>21</v>
      </c>
    </row>
    <row r="456" spans="1:12" ht="14.25" x14ac:dyDescent="0.2">
      <c r="A456">
        <v>454</v>
      </c>
      <c r="B456">
        <v>2022</v>
      </c>
      <c r="C456" t="s">
        <v>30</v>
      </c>
      <c r="D456" t="s">
        <v>12</v>
      </c>
      <c r="E456" t="s">
        <v>74</v>
      </c>
      <c r="F456">
        <v>125000</v>
      </c>
      <c r="G456" t="s">
        <v>19</v>
      </c>
      <c r="H456">
        <v>125000</v>
      </c>
      <c r="I456" t="s">
        <v>29</v>
      </c>
      <c r="J456">
        <v>0</v>
      </c>
      <c r="K456" t="s">
        <v>29</v>
      </c>
      <c r="L456" t="s">
        <v>25</v>
      </c>
    </row>
    <row r="457" spans="1:12" ht="14.25" x14ac:dyDescent="0.2">
      <c r="A457">
        <v>455</v>
      </c>
      <c r="B457">
        <v>2022</v>
      </c>
      <c r="C457" t="s">
        <v>11</v>
      </c>
      <c r="D457" t="s">
        <v>12</v>
      </c>
      <c r="E457" t="s">
        <v>135</v>
      </c>
      <c r="F457">
        <v>240000</v>
      </c>
      <c r="G457" t="s">
        <v>48</v>
      </c>
      <c r="H457">
        <v>37236</v>
      </c>
      <c r="I457" t="s">
        <v>29</v>
      </c>
      <c r="J457">
        <v>50</v>
      </c>
      <c r="K457" t="s">
        <v>29</v>
      </c>
      <c r="L457" t="s">
        <v>16</v>
      </c>
    </row>
    <row r="458" spans="1:12" ht="14.25" x14ac:dyDescent="0.2">
      <c r="A458">
        <v>456</v>
      </c>
      <c r="B458">
        <v>2022</v>
      </c>
      <c r="C458" t="s">
        <v>17</v>
      </c>
      <c r="D458" t="s">
        <v>12</v>
      </c>
      <c r="E458" t="s">
        <v>43</v>
      </c>
      <c r="F458">
        <v>105000</v>
      </c>
      <c r="G458" t="s">
        <v>19</v>
      </c>
      <c r="H458">
        <v>105000</v>
      </c>
      <c r="I458" t="s">
        <v>29</v>
      </c>
      <c r="J458">
        <v>100</v>
      </c>
      <c r="K458" t="s">
        <v>29</v>
      </c>
      <c r="L458" t="s">
        <v>25</v>
      </c>
    </row>
    <row r="459" spans="1:12" ht="14.25" x14ac:dyDescent="0.2">
      <c r="A459">
        <v>457</v>
      </c>
      <c r="B459">
        <v>2022</v>
      </c>
      <c r="C459" t="s">
        <v>17</v>
      </c>
      <c r="D459" t="s">
        <v>12</v>
      </c>
      <c r="E459" t="s">
        <v>136</v>
      </c>
      <c r="F459">
        <v>80000</v>
      </c>
      <c r="G459" t="s">
        <v>14</v>
      </c>
      <c r="H459">
        <v>87932</v>
      </c>
      <c r="I459" t="s">
        <v>15</v>
      </c>
      <c r="J459">
        <v>0</v>
      </c>
      <c r="K459" t="s">
        <v>15</v>
      </c>
      <c r="L459" t="s">
        <v>25</v>
      </c>
    </row>
    <row r="460" spans="1:12" ht="14.25" x14ac:dyDescent="0.2">
      <c r="A460">
        <v>458</v>
      </c>
      <c r="B460">
        <v>2022</v>
      </c>
      <c r="C460" t="s">
        <v>11</v>
      </c>
      <c r="D460" t="s">
        <v>12</v>
      </c>
      <c r="E460" t="s">
        <v>35</v>
      </c>
      <c r="F460">
        <v>1400000</v>
      </c>
      <c r="G460" t="s">
        <v>39</v>
      </c>
      <c r="H460">
        <v>18442</v>
      </c>
      <c r="I460" t="s">
        <v>40</v>
      </c>
      <c r="J460">
        <v>100</v>
      </c>
      <c r="K460" t="s">
        <v>40</v>
      </c>
      <c r="L460" t="s">
        <v>25</v>
      </c>
    </row>
    <row r="461" spans="1:12" ht="14.25" x14ac:dyDescent="0.2">
      <c r="A461">
        <v>459</v>
      </c>
      <c r="B461">
        <v>2022</v>
      </c>
      <c r="C461" t="s">
        <v>11</v>
      </c>
      <c r="D461" t="s">
        <v>12</v>
      </c>
      <c r="E461" t="s">
        <v>13</v>
      </c>
      <c r="F461">
        <v>2400000</v>
      </c>
      <c r="G461" t="s">
        <v>39</v>
      </c>
      <c r="H461">
        <v>31615</v>
      </c>
      <c r="I461" t="s">
        <v>40</v>
      </c>
      <c r="J461">
        <v>100</v>
      </c>
      <c r="K461" t="s">
        <v>40</v>
      </c>
      <c r="L461" t="s">
        <v>16</v>
      </c>
    </row>
    <row r="462" spans="1:12" ht="14.25" x14ac:dyDescent="0.2">
      <c r="A462">
        <v>460</v>
      </c>
      <c r="B462">
        <v>2022</v>
      </c>
      <c r="C462" t="s">
        <v>11</v>
      </c>
      <c r="D462" t="s">
        <v>12</v>
      </c>
      <c r="E462" t="s">
        <v>68</v>
      </c>
      <c r="F462">
        <v>53000</v>
      </c>
      <c r="G462" t="s">
        <v>14</v>
      </c>
      <c r="H462">
        <v>58255</v>
      </c>
      <c r="I462" t="s">
        <v>47</v>
      </c>
      <c r="J462">
        <v>50</v>
      </c>
      <c r="K462" t="s">
        <v>47</v>
      </c>
      <c r="L462" t="s">
        <v>16</v>
      </c>
    </row>
    <row r="463" spans="1:12" ht="14.25" x14ac:dyDescent="0.2">
      <c r="A463">
        <v>461</v>
      </c>
      <c r="B463">
        <v>2022</v>
      </c>
      <c r="C463" t="s">
        <v>30</v>
      </c>
      <c r="D463" t="s">
        <v>12</v>
      </c>
      <c r="E463" t="s">
        <v>92</v>
      </c>
      <c r="F463">
        <v>100000</v>
      </c>
      <c r="G463" t="s">
        <v>19</v>
      </c>
      <c r="H463">
        <v>100000</v>
      </c>
      <c r="I463" t="s">
        <v>29</v>
      </c>
      <c r="J463">
        <v>50</v>
      </c>
      <c r="K463" t="s">
        <v>29</v>
      </c>
      <c r="L463" t="s">
        <v>16</v>
      </c>
    </row>
    <row r="464" spans="1:12" ht="14.25" x14ac:dyDescent="0.2">
      <c r="A464">
        <v>462</v>
      </c>
      <c r="B464">
        <v>2022</v>
      </c>
      <c r="C464" t="s">
        <v>11</v>
      </c>
      <c r="D464" t="s">
        <v>47</v>
      </c>
      <c r="E464" t="s">
        <v>43</v>
      </c>
      <c r="F464">
        <v>50000</v>
      </c>
      <c r="G464" t="s">
        <v>14</v>
      </c>
      <c r="H464">
        <v>54957</v>
      </c>
      <c r="I464" t="s">
        <v>15</v>
      </c>
      <c r="J464">
        <v>50</v>
      </c>
      <c r="K464" t="s">
        <v>15</v>
      </c>
      <c r="L464" t="s">
        <v>16</v>
      </c>
    </row>
    <row r="465" spans="1:12" ht="14.25" x14ac:dyDescent="0.2">
      <c r="A465">
        <v>463</v>
      </c>
      <c r="B465">
        <v>2022</v>
      </c>
      <c r="C465" t="s">
        <v>30</v>
      </c>
      <c r="D465" t="s">
        <v>12</v>
      </c>
      <c r="E465" t="s">
        <v>13</v>
      </c>
      <c r="F465">
        <v>1400000</v>
      </c>
      <c r="G465" t="s">
        <v>39</v>
      </c>
      <c r="H465">
        <v>18442</v>
      </c>
      <c r="I465" t="s">
        <v>40</v>
      </c>
      <c r="J465">
        <v>100</v>
      </c>
      <c r="K465" t="s">
        <v>40</v>
      </c>
      <c r="L465" t="s">
        <v>25</v>
      </c>
    </row>
    <row r="466" spans="1:12" ht="14.25" x14ac:dyDescent="0.2">
      <c r="A466">
        <v>464</v>
      </c>
      <c r="B466">
        <v>2022</v>
      </c>
      <c r="C466" t="s">
        <v>17</v>
      </c>
      <c r="D466" t="s">
        <v>12</v>
      </c>
      <c r="E466" t="s">
        <v>76</v>
      </c>
      <c r="F466">
        <v>148000</v>
      </c>
      <c r="G466" t="s">
        <v>14</v>
      </c>
      <c r="H466">
        <v>162674</v>
      </c>
      <c r="I466" t="s">
        <v>15</v>
      </c>
      <c r="J466">
        <v>100</v>
      </c>
      <c r="K466" t="s">
        <v>15</v>
      </c>
      <c r="L466" t="s">
        <v>25</v>
      </c>
    </row>
    <row r="467" spans="1:12" ht="14.25" x14ac:dyDescent="0.2">
      <c r="A467">
        <v>465</v>
      </c>
      <c r="B467">
        <v>2022</v>
      </c>
      <c r="C467" t="s">
        <v>30</v>
      </c>
      <c r="D467" t="s">
        <v>12</v>
      </c>
      <c r="E467" t="s">
        <v>43</v>
      </c>
      <c r="F467">
        <v>120000</v>
      </c>
      <c r="G467" t="s">
        <v>19</v>
      </c>
      <c r="H467">
        <v>120000</v>
      </c>
      <c r="I467" t="s">
        <v>29</v>
      </c>
      <c r="J467">
        <v>100</v>
      </c>
      <c r="K467" t="s">
        <v>29</v>
      </c>
      <c r="L467" t="s">
        <v>25</v>
      </c>
    </row>
    <row r="468" spans="1:12" ht="14.25" x14ac:dyDescent="0.2">
      <c r="A468">
        <v>466</v>
      </c>
      <c r="B468">
        <v>2022</v>
      </c>
      <c r="C468" t="s">
        <v>17</v>
      </c>
      <c r="D468" t="s">
        <v>12</v>
      </c>
      <c r="E468" t="s">
        <v>55</v>
      </c>
      <c r="F468">
        <v>144000</v>
      </c>
      <c r="G468" t="s">
        <v>19</v>
      </c>
      <c r="H468">
        <v>144000</v>
      </c>
      <c r="I468" t="s">
        <v>29</v>
      </c>
      <c r="J468">
        <v>50</v>
      </c>
      <c r="K468" t="s">
        <v>29</v>
      </c>
      <c r="L468" t="s">
        <v>16</v>
      </c>
    </row>
    <row r="469" spans="1:12" ht="14.25" x14ac:dyDescent="0.2">
      <c r="A469">
        <v>467</v>
      </c>
      <c r="B469">
        <v>2022</v>
      </c>
      <c r="C469" t="s">
        <v>17</v>
      </c>
      <c r="D469" t="s">
        <v>12</v>
      </c>
      <c r="E469" t="s">
        <v>13</v>
      </c>
      <c r="F469">
        <v>104890</v>
      </c>
      <c r="G469" t="s">
        <v>19</v>
      </c>
      <c r="H469">
        <v>104890</v>
      </c>
      <c r="I469" t="s">
        <v>29</v>
      </c>
      <c r="J469">
        <v>100</v>
      </c>
      <c r="K469" t="s">
        <v>29</v>
      </c>
      <c r="L469" t="s">
        <v>25</v>
      </c>
    </row>
    <row r="470" spans="1:12" ht="14.25" x14ac:dyDescent="0.2">
      <c r="A470">
        <v>468</v>
      </c>
      <c r="B470">
        <v>2022</v>
      </c>
      <c r="C470" t="s">
        <v>17</v>
      </c>
      <c r="D470" t="s">
        <v>12</v>
      </c>
      <c r="E470" t="s">
        <v>43</v>
      </c>
      <c r="F470">
        <v>100000</v>
      </c>
      <c r="G470" t="s">
        <v>19</v>
      </c>
      <c r="H470">
        <v>100000</v>
      </c>
      <c r="I470" t="s">
        <v>29</v>
      </c>
      <c r="J470">
        <v>100</v>
      </c>
      <c r="K470" t="s">
        <v>29</v>
      </c>
      <c r="L470" t="s">
        <v>25</v>
      </c>
    </row>
    <row r="471" spans="1:12" ht="14.25" x14ac:dyDescent="0.2">
      <c r="A471">
        <v>469</v>
      </c>
      <c r="B471">
        <v>2022</v>
      </c>
      <c r="C471" t="s">
        <v>17</v>
      </c>
      <c r="D471" t="s">
        <v>12</v>
      </c>
      <c r="E471" t="s">
        <v>13</v>
      </c>
      <c r="F471">
        <v>140000</v>
      </c>
      <c r="G471" t="s">
        <v>19</v>
      </c>
      <c r="H471">
        <v>140000</v>
      </c>
      <c r="I471" t="s">
        <v>29</v>
      </c>
      <c r="J471">
        <v>100</v>
      </c>
      <c r="K471" t="s">
        <v>29</v>
      </c>
      <c r="L471" t="s">
        <v>25</v>
      </c>
    </row>
    <row r="472" spans="1:12" ht="14.25" x14ac:dyDescent="0.2">
      <c r="A472">
        <v>470</v>
      </c>
      <c r="B472">
        <v>2022</v>
      </c>
      <c r="C472" t="s">
        <v>11</v>
      </c>
      <c r="D472" t="s">
        <v>12</v>
      </c>
      <c r="E472" t="s">
        <v>31</v>
      </c>
      <c r="F472">
        <v>135000</v>
      </c>
      <c r="G472" t="s">
        <v>19</v>
      </c>
      <c r="H472">
        <v>135000</v>
      </c>
      <c r="I472" t="s">
        <v>29</v>
      </c>
      <c r="J472">
        <v>100</v>
      </c>
      <c r="K472" t="s">
        <v>29</v>
      </c>
      <c r="L472" t="s">
        <v>25</v>
      </c>
    </row>
    <row r="473" spans="1:12" ht="14.25" x14ac:dyDescent="0.2">
      <c r="A473">
        <v>471</v>
      </c>
      <c r="B473">
        <v>2022</v>
      </c>
      <c r="C473" t="s">
        <v>11</v>
      </c>
      <c r="D473" t="s">
        <v>12</v>
      </c>
      <c r="E473" t="s">
        <v>31</v>
      </c>
      <c r="F473">
        <v>50000</v>
      </c>
      <c r="G473" t="s">
        <v>19</v>
      </c>
      <c r="H473">
        <v>50000</v>
      </c>
      <c r="I473" t="s">
        <v>29</v>
      </c>
      <c r="J473">
        <v>100</v>
      </c>
      <c r="K473" t="s">
        <v>29</v>
      </c>
      <c r="L473" t="s">
        <v>25</v>
      </c>
    </row>
    <row r="474" spans="1:12" ht="14.25" x14ac:dyDescent="0.2">
      <c r="A474">
        <v>472</v>
      </c>
      <c r="B474">
        <v>2022</v>
      </c>
      <c r="C474" t="s">
        <v>17</v>
      </c>
      <c r="D474" t="s">
        <v>12</v>
      </c>
      <c r="E474" t="s">
        <v>13</v>
      </c>
      <c r="F474">
        <v>220000</v>
      </c>
      <c r="G474" t="s">
        <v>19</v>
      </c>
      <c r="H474">
        <v>220000</v>
      </c>
      <c r="I474" t="s">
        <v>29</v>
      </c>
      <c r="J474">
        <v>100</v>
      </c>
      <c r="K474" t="s">
        <v>29</v>
      </c>
      <c r="L474" t="s">
        <v>25</v>
      </c>
    </row>
    <row r="475" spans="1:12" ht="14.25" x14ac:dyDescent="0.2">
      <c r="A475">
        <v>473</v>
      </c>
      <c r="B475">
        <v>2022</v>
      </c>
      <c r="C475" t="s">
        <v>17</v>
      </c>
      <c r="D475" t="s">
        <v>12</v>
      </c>
      <c r="E475" t="s">
        <v>13</v>
      </c>
      <c r="F475">
        <v>140000</v>
      </c>
      <c r="G475" t="s">
        <v>19</v>
      </c>
      <c r="H475">
        <v>140000</v>
      </c>
      <c r="I475" t="s">
        <v>29</v>
      </c>
      <c r="J475">
        <v>100</v>
      </c>
      <c r="K475" t="s">
        <v>29</v>
      </c>
      <c r="L475" t="s">
        <v>25</v>
      </c>
    </row>
    <row r="476" spans="1:12" ht="14.25" x14ac:dyDescent="0.2">
      <c r="A476">
        <v>474</v>
      </c>
      <c r="B476">
        <v>2022</v>
      </c>
      <c r="C476" t="s">
        <v>11</v>
      </c>
      <c r="D476" t="s">
        <v>12</v>
      </c>
      <c r="E476" t="s">
        <v>13</v>
      </c>
      <c r="F476">
        <v>140000</v>
      </c>
      <c r="G476" t="s">
        <v>23</v>
      </c>
      <c r="H476">
        <v>183228</v>
      </c>
      <c r="I476" t="s">
        <v>24</v>
      </c>
      <c r="J476">
        <v>0</v>
      </c>
      <c r="K476" t="s">
        <v>24</v>
      </c>
      <c r="L476" t="s">
        <v>25</v>
      </c>
    </row>
    <row r="477" spans="1:12" ht="14.25" x14ac:dyDescent="0.2">
      <c r="A477">
        <v>475</v>
      </c>
      <c r="B477">
        <v>2022</v>
      </c>
      <c r="C477" t="s">
        <v>11</v>
      </c>
      <c r="D477" t="s">
        <v>12</v>
      </c>
      <c r="E477" t="s">
        <v>13</v>
      </c>
      <c r="F477">
        <v>70000</v>
      </c>
      <c r="G477" t="s">
        <v>23</v>
      </c>
      <c r="H477">
        <v>91614</v>
      </c>
      <c r="I477" t="s">
        <v>24</v>
      </c>
      <c r="J477">
        <v>0</v>
      </c>
      <c r="K477" t="s">
        <v>24</v>
      </c>
      <c r="L477" t="s">
        <v>25</v>
      </c>
    </row>
    <row r="478" spans="1:12" ht="14.25" x14ac:dyDescent="0.2">
      <c r="A478">
        <v>476</v>
      </c>
      <c r="B478">
        <v>2022</v>
      </c>
      <c r="C478" t="s">
        <v>17</v>
      </c>
      <c r="D478" t="s">
        <v>12</v>
      </c>
      <c r="E478" t="s">
        <v>13</v>
      </c>
      <c r="F478">
        <v>185100</v>
      </c>
      <c r="G478" t="s">
        <v>19</v>
      </c>
      <c r="H478">
        <v>185100</v>
      </c>
      <c r="I478" t="s">
        <v>29</v>
      </c>
      <c r="J478">
        <v>100</v>
      </c>
      <c r="K478" t="s">
        <v>29</v>
      </c>
      <c r="L478" t="s">
        <v>25</v>
      </c>
    </row>
    <row r="479" spans="1:12" ht="14.25" x14ac:dyDescent="0.2">
      <c r="A479">
        <v>477</v>
      </c>
      <c r="B479">
        <v>2022</v>
      </c>
      <c r="C479" t="s">
        <v>17</v>
      </c>
      <c r="D479" t="s">
        <v>12</v>
      </c>
      <c r="E479" t="s">
        <v>28</v>
      </c>
      <c r="F479">
        <v>220000</v>
      </c>
      <c r="G479" t="s">
        <v>19</v>
      </c>
      <c r="H479">
        <v>220000</v>
      </c>
      <c r="I479" t="s">
        <v>29</v>
      </c>
      <c r="J479">
        <v>100</v>
      </c>
      <c r="K479" t="s">
        <v>29</v>
      </c>
      <c r="L479" t="s">
        <v>25</v>
      </c>
    </row>
    <row r="480" spans="1:12" ht="14.25" x14ac:dyDescent="0.2">
      <c r="A480">
        <v>478</v>
      </c>
      <c r="B480">
        <v>2022</v>
      </c>
      <c r="C480" t="s">
        <v>11</v>
      </c>
      <c r="D480" t="s">
        <v>12</v>
      </c>
      <c r="E480" t="s">
        <v>13</v>
      </c>
      <c r="F480">
        <v>200000</v>
      </c>
      <c r="G480" t="s">
        <v>19</v>
      </c>
      <c r="H480">
        <v>200000</v>
      </c>
      <c r="I480" t="s">
        <v>29</v>
      </c>
      <c r="J480">
        <v>100</v>
      </c>
      <c r="K480" t="s">
        <v>29</v>
      </c>
      <c r="L480" t="s">
        <v>25</v>
      </c>
    </row>
    <row r="481" spans="1:12" ht="14.25" x14ac:dyDescent="0.2">
      <c r="A481">
        <v>479</v>
      </c>
      <c r="B481">
        <v>2022</v>
      </c>
      <c r="C481" t="s">
        <v>11</v>
      </c>
      <c r="D481" t="s">
        <v>12</v>
      </c>
      <c r="E481" t="s">
        <v>13</v>
      </c>
      <c r="F481">
        <v>120000</v>
      </c>
      <c r="G481" t="s">
        <v>19</v>
      </c>
      <c r="H481">
        <v>120000</v>
      </c>
      <c r="I481" t="s">
        <v>29</v>
      </c>
      <c r="J481">
        <v>100</v>
      </c>
      <c r="K481" t="s">
        <v>29</v>
      </c>
      <c r="L481" t="s">
        <v>25</v>
      </c>
    </row>
    <row r="482" spans="1:12" ht="14.25" x14ac:dyDescent="0.2">
      <c r="A482">
        <v>480</v>
      </c>
      <c r="B482">
        <v>2022</v>
      </c>
      <c r="C482" t="s">
        <v>17</v>
      </c>
      <c r="D482" t="s">
        <v>12</v>
      </c>
      <c r="E482" t="s">
        <v>28</v>
      </c>
      <c r="F482">
        <v>120000</v>
      </c>
      <c r="G482" t="s">
        <v>19</v>
      </c>
      <c r="H482">
        <v>120000</v>
      </c>
      <c r="I482" t="s">
        <v>52</v>
      </c>
      <c r="J482">
        <v>100</v>
      </c>
      <c r="K482" t="s">
        <v>52</v>
      </c>
      <c r="L482" t="s">
        <v>21</v>
      </c>
    </row>
    <row r="483" spans="1:12" ht="14.25" x14ac:dyDescent="0.2">
      <c r="A483">
        <v>481</v>
      </c>
      <c r="B483">
        <v>2022</v>
      </c>
      <c r="C483" t="s">
        <v>17</v>
      </c>
      <c r="D483" t="s">
        <v>12</v>
      </c>
      <c r="E483" t="s">
        <v>28</v>
      </c>
      <c r="F483">
        <v>65000</v>
      </c>
      <c r="G483" t="s">
        <v>19</v>
      </c>
      <c r="H483">
        <v>65000</v>
      </c>
      <c r="I483" t="s">
        <v>52</v>
      </c>
      <c r="J483">
        <v>100</v>
      </c>
      <c r="K483" t="s">
        <v>52</v>
      </c>
      <c r="L483" t="s">
        <v>21</v>
      </c>
    </row>
    <row r="484" spans="1:12" ht="14.25" x14ac:dyDescent="0.2">
      <c r="A484">
        <v>482</v>
      </c>
      <c r="B484">
        <v>2022</v>
      </c>
      <c r="C484" t="s">
        <v>53</v>
      </c>
      <c r="D484" t="s">
        <v>12</v>
      </c>
      <c r="E484" t="s">
        <v>43</v>
      </c>
      <c r="F484">
        <v>324000</v>
      </c>
      <c r="G484" t="s">
        <v>19</v>
      </c>
      <c r="H484">
        <v>324000</v>
      </c>
      <c r="I484" t="s">
        <v>29</v>
      </c>
      <c r="J484">
        <v>100</v>
      </c>
      <c r="K484" t="s">
        <v>29</v>
      </c>
      <c r="L484" t="s">
        <v>25</v>
      </c>
    </row>
    <row r="485" spans="1:12" ht="14.25" x14ac:dyDescent="0.2">
      <c r="A485">
        <v>483</v>
      </c>
      <c r="B485">
        <v>2022</v>
      </c>
      <c r="C485" t="s">
        <v>53</v>
      </c>
      <c r="D485" t="s">
        <v>12</v>
      </c>
      <c r="E485" t="s">
        <v>43</v>
      </c>
      <c r="F485">
        <v>216000</v>
      </c>
      <c r="G485" t="s">
        <v>19</v>
      </c>
      <c r="H485">
        <v>216000</v>
      </c>
      <c r="I485" t="s">
        <v>29</v>
      </c>
      <c r="J485">
        <v>100</v>
      </c>
      <c r="K485" t="s">
        <v>29</v>
      </c>
      <c r="L485" t="s">
        <v>25</v>
      </c>
    </row>
    <row r="486" spans="1:12" ht="14.25" x14ac:dyDescent="0.2">
      <c r="A486">
        <v>484</v>
      </c>
      <c r="B486">
        <v>2022</v>
      </c>
      <c r="C486" t="s">
        <v>17</v>
      </c>
      <c r="D486" t="s">
        <v>12</v>
      </c>
      <c r="E486" t="s">
        <v>43</v>
      </c>
      <c r="F486">
        <v>210000</v>
      </c>
      <c r="G486" t="s">
        <v>19</v>
      </c>
      <c r="H486">
        <v>210000</v>
      </c>
      <c r="I486" t="s">
        <v>29</v>
      </c>
      <c r="J486">
        <v>100</v>
      </c>
      <c r="K486" t="s">
        <v>29</v>
      </c>
      <c r="L486" t="s">
        <v>25</v>
      </c>
    </row>
    <row r="487" spans="1:12" ht="14.25" x14ac:dyDescent="0.2">
      <c r="A487">
        <v>485</v>
      </c>
      <c r="B487">
        <v>2022</v>
      </c>
      <c r="C487" t="s">
        <v>17</v>
      </c>
      <c r="D487" t="s">
        <v>12</v>
      </c>
      <c r="E487" t="s">
        <v>28</v>
      </c>
      <c r="F487">
        <v>120000</v>
      </c>
      <c r="G487" t="s">
        <v>19</v>
      </c>
      <c r="H487">
        <v>120000</v>
      </c>
      <c r="I487" t="s">
        <v>29</v>
      </c>
      <c r="J487">
        <v>100</v>
      </c>
      <c r="K487" t="s">
        <v>29</v>
      </c>
      <c r="L487" t="s">
        <v>25</v>
      </c>
    </row>
    <row r="488" spans="1:12" ht="14.25" x14ac:dyDescent="0.2">
      <c r="A488">
        <v>486</v>
      </c>
      <c r="B488">
        <v>2022</v>
      </c>
      <c r="C488" t="s">
        <v>17</v>
      </c>
      <c r="D488" t="s">
        <v>12</v>
      </c>
      <c r="E488" t="s">
        <v>13</v>
      </c>
      <c r="F488">
        <v>230000</v>
      </c>
      <c r="G488" t="s">
        <v>19</v>
      </c>
      <c r="H488">
        <v>230000</v>
      </c>
      <c r="I488" t="s">
        <v>29</v>
      </c>
      <c r="J488">
        <v>100</v>
      </c>
      <c r="K488" t="s">
        <v>29</v>
      </c>
      <c r="L488" t="s">
        <v>25</v>
      </c>
    </row>
    <row r="489" spans="1:12" ht="14.25" x14ac:dyDescent="0.2">
      <c r="A489">
        <v>487</v>
      </c>
      <c r="B489">
        <v>2022</v>
      </c>
      <c r="C489" t="s">
        <v>30</v>
      </c>
      <c r="D489" t="s">
        <v>47</v>
      </c>
      <c r="E489" t="s">
        <v>13</v>
      </c>
      <c r="F489">
        <v>100000</v>
      </c>
      <c r="G489" t="s">
        <v>19</v>
      </c>
      <c r="H489">
        <v>100000</v>
      </c>
      <c r="I489" t="s">
        <v>137</v>
      </c>
      <c r="J489">
        <v>50</v>
      </c>
      <c r="K489" t="s">
        <v>137</v>
      </c>
      <c r="L489" t="s">
        <v>25</v>
      </c>
    </row>
    <row r="490" spans="1:12" ht="14.25" x14ac:dyDescent="0.2">
      <c r="A490">
        <v>488</v>
      </c>
      <c r="B490">
        <v>2022</v>
      </c>
      <c r="C490" t="s">
        <v>11</v>
      </c>
      <c r="D490" t="s">
        <v>73</v>
      </c>
      <c r="E490" t="s">
        <v>13</v>
      </c>
      <c r="F490">
        <v>100000</v>
      </c>
      <c r="G490" t="s">
        <v>19</v>
      </c>
      <c r="H490">
        <v>100000</v>
      </c>
      <c r="I490" t="s">
        <v>62</v>
      </c>
      <c r="J490">
        <v>100</v>
      </c>
      <c r="K490" t="s">
        <v>29</v>
      </c>
      <c r="L490" t="s">
        <v>25</v>
      </c>
    </row>
    <row r="491" spans="1:12" ht="14.25" x14ac:dyDescent="0.2">
      <c r="A491">
        <v>489</v>
      </c>
      <c r="B491">
        <v>2022</v>
      </c>
      <c r="C491" t="s">
        <v>30</v>
      </c>
      <c r="D491" t="s">
        <v>59</v>
      </c>
      <c r="E491" t="s">
        <v>100</v>
      </c>
      <c r="F491">
        <v>29000</v>
      </c>
      <c r="G491" t="s">
        <v>14</v>
      </c>
      <c r="H491">
        <v>31875</v>
      </c>
      <c r="I491" t="s">
        <v>138</v>
      </c>
      <c r="J491">
        <v>100</v>
      </c>
      <c r="K491" t="s">
        <v>130</v>
      </c>
      <c r="L491" t="s">
        <v>25</v>
      </c>
    </row>
    <row r="492" spans="1:12" ht="14.25" x14ac:dyDescent="0.2">
      <c r="A492">
        <v>490</v>
      </c>
      <c r="B492">
        <v>2022</v>
      </c>
      <c r="C492" t="s">
        <v>17</v>
      </c>
      <c r="D492" t="s">
        <v>12</v>
      </c>
      <c r="E492" t="s">
        <v>81</v>
      </c>
      <c r="F492">
        <v>200000</v>
      </c>
      <c r="G492" t="s">
        <v>19</v>
      </c>
      <c r="H492">
        <v>200000</v>
      </c>
      <c r="I492" t="s">
        <v>139</v>
      </c>
      <c r="J492">
        <v>100</v>
      </c>
      <c r="K492" t="s">
        <v>29</v>
      </c>
      <c r="L492" t="s">
        <v>25</v>
      </c>
    </row>
    <row r="493" spans="1:12" ht="14.25" x14ac:dyDescent="0.2">
      <c r="A493">
        <v>491</v>
      </c>
      <c r="B493">
        <v>2022</v>
      </c>
      <c r="C493" t="s">
        <v>11</v>
      </c>
      <c r="D493" t="s">
        <v>12</v>
      </c>
      <c r="E493" t="s">
        <v>124</v>
      </c>
      <c r="F493">
        <v>75000</v>
      </c>
      <c r="G493" t="s">
        <v>19</v>
      </c>
      <c r="H493">
        <v>75000</v>
      </c>
      <c r="I493" t="s">
        <v>62</v>
      </c>
      <c r="J493">
        <v>100</v>
      </c>
      <c r="K493" t="s">
        <v>62</v>
      </c>
      <c r="L493" t="s">
        <v>21</v>
      </c>
    </row>
    <row r="494" spans="1:12" ht="14.25" x14ac:dyDescent="0.2">
      <c r="A494">
        <v>492</v>
      </c>
      <c r="B494">
        <v>2022</v>
      </c>
      <c r="C494" t="s">
        <v>11</v>
      </c>
      <c r="D494" t="s">
        <v>12</v>
      </c>
      <c r="E494" t="s">
        <v>13</v>
      </c>
      <c r="F494">
        <v>150000</v>
      </c>
      <c r="G494" t="s">
        <v>85</v>
      </c>
      <c r="H494">
        <v>35590</v>
      </c>
      <c r="I494" t="s">
        <v>45</v>
      </c>
      <c r="J494">
        <v>100</v>
      </c>
      <c r="K494" t="s">
        <v>45</v>
      </c>
      <c r="L494" t="s">
        <v>16</v>
      </c>
    </row>
    <row r="495" spans="1:12" ht="14.25" x14ac:dyDescent="0.2">
      <c r="A495">
        <v>493</v>
      </c>
      <c r="B495">
        <v>2022</v>
      </c>
      <c r="C495" t="s">
        <v>17</v>
      </c>
      <c r="D495" t="s">
        <v>12</v>
      </c>
      <c r="E495" t="s">
        <v>98</v>
      </c>
      <c r="F495">
        <v>100000</v>
      </c>
      <c r="G495" t="s">
        <v>61</v>
      </c>
      <c r="H495">
        <v>78791</v>
      </c>
      <c r="I495" t="s">
        <v>62</v>
      </c>
      <c r="J495">
        <v>100</v>
      </c>
      <c r="K495" t="s">
        <v>62</v>
      </c>
      <c r="L495" t="s">
        <v>25</v>
      </c>
    </row>
    <row r="496" spans="1:12" ht="14.25" x14ac:dyDescent="0.2">
      <c r="A496">
        <v>494</v>
      </c>
      <c r="B496">
        <v>2022</v>
      </c>
      <c r="C496" t="s">
        <v>17</v>
      </c>
      <c r="D496" t="s">
        <v>12</v>
      </c>
      <c r="E496" t="s">
        <v>13</v>
      </c>
      <c r="F496">
        <v>100000</v>
      </c>
      <c r="G496" t="s">
        <v>19</v>
      </c>
      <c r="H496">
        <v>100000</v>
      </c>
      <c r="I496" t="s">
        <v>91</v>
      </c>
      <c r="J496">
        <v>100</v>
      </c>
      <c r="K496" t="s">
        <v>29</v>
      </c>
      <c r="L496" t="s">
        <v>25</v>
      </c>
    </row>
    <row r="497" spans="1:12" ht="14.25" x14ac:dyDescent="0.2">
      <c r="A497">
        <v>495</v>
      </c>
      <c r="B497">
        <v>2022</v>
      </c>
      <c r="C497" t="s">
        <v>11</v>
      </c>
      <c r="D497" t="s">
        <v>12</v>
      </c>
      <c r="E497" t="s">
        <v>18</v>
      </c>
      <c r="F497">
        <v>153000</v>
      </c>
      <c r="G497" t="s">
        <v>19</v>
      </c>
      <c r="H497">
        <v>153000</v>
      </c>
      <c r="I497" t="s">
        <v>29</v>
      </c>
      <c r="J497">
        <v>50</v>
      </c>
      <c r="K497" t="s">
        <v>29</v>
      </c>
      <c r="L497" t="s">
        <v>25</v>
      </c>
    </row>
    <row r="498" spans="1:12" ht="14.25" x14ac:dyDescent="0.2">
      <c r="A498">
        <v>496</v>
      </c>
      <c r="B498">
        <v>2022</v>
      </c>
      <c r="C498" t="s">
        <v>30</v>
      </c>
      <c r="D498" t="s">
        <v>12</v>
      </c>
      <c r="E498" t="s">
        <v>43</v>
      </c>
      <c r="F498">
        <v>52800</v>
      </c>
      <c r="G498" t="s">
        <v>14</v>
      </c>
      <c r="H498">
        <v>58035</v>
      </c>
      <c r="I498" t="s">
        <v>42</v>
      </c>
      <c r="J498">
        <v>100</v>
      </c>
      <c r="K498" t="s">
        <v>15</v>
      </c>
      <c r="L498" t="s">
        <v>25</v>
      </c>
    </row>
    <row r="499" spans="1:12" ht="14.25" x14ac:dyDescent="0.2">
      <c r="A499">
        <v>497</v>
      </c>
      <c r="B499">
        <v>2022</v>
      </c>
      <c r="C499" t="s">
        <v>17</v>
      </c>
      <c r="D499" t="s">
        <v>12</v>
      </c>
      <c r="E499" t="s">
        <v>13</v>
      </c>
      <c r="F499">
        <v>165000</v>
      </c>
      <c r="G499" t="s">
        <v>19</v>
      </c>
      <c r="H499">
        <v>165000</v>
      </c>
      <c r="I499" t="s">
        <v>29</v>
      </c>
      <c r="J499">
        <v>100</v>
      </c>
      <c r="K499" t="s">
        <v>29</v>
      </c>
      <c r="L499" t="s">
        <v>25</v>
      </c>
    </row>
    <row r="500" spans="1:12" ht="14.25" x14ac:dyDescent="0.2">
      <c r="A500">
        <v>498</v>
      </c>
      <c r="B500">
        <v>2022</v>
      </c>
      <c r="C500" t="s">
        <v>17</v>
      </c>
      <c r="D500" t="s">
        <v>12</v>
      </c>
      <c r="E500" t="s">
        <v>55</v>
      </c>
      <c r="F500">
        <v>85000</v>
      </c>
      <c r="G500" t="s">
        <v>14</v>
      </c>
      <c r="H500">
        <v>93427</v>
      </c>
      <c r="I500" t="s">
        <v>38</v>
      </c>
      <c r="J500">
        <v>50</v>
      </c>
      <c r="K500" t="s">
        <v>38</v>
      </c>
      <c r="L500" t="s">
        <v>16</v>
      </c>
    </row>
    <row r="501" spans="1:12" ht="14.25" x14ac:dyDescent="0.2">
      <c r="A501">
        <v>499</v>
      </c>
      <c r="B501">
        <v>2022</v>
      </c>
      <c r="C501" t="s">
        <v>30</v>
      </c>
      <c r="D501" t="s">
        <v>12</v>
      </c>
      <c r="E501" t="s">
        <v>13</v>
      </c>
      <c r="F501">
        <v>66500</v>
      </c>
      <c r="G501" t="s">
        <v>61</v>
      </c>
      <c r="H501">
        <v>52396</v>
      </c>
      <c r="I501" t="s">
        <v>62</v>
      </c>
      <c r="J501">
        <v>100</v>
      </c>
      <c r="K501" t="s">
        <v>62</v>
      </c>
      <c r="L501" t="s">
        <v>16</v>
      </c>
    </row>
    <row r="502" spans="1:12" ht="14.25" x14ac:dyDescent="0.2">
      <c r="A502">
        <v>500</v>
      </c>
      <c r="B502">
        <v>2022</v>
      </c>
      <c r="C502" t="s">
        <v>17</v>
      </c>
      <c r="D502" t="s">
        <v>12</v>
      </c>
      <c r="E502" t="s">
        <v>28</v>
      </c>
      <c r="F502">
        <v>57000</v>
      </c>
      <c r="G502" t="s">
        <v>14</v>
      </c>
      <c r="H502">
        <v>62651</v>
      </c>
      <c r="I502" t="s">
        <v>56</v>
      </c>
      <c r="J502">
        <v>100</v>
      </c>
      <c r="K502" t="s">
        <v>56</v>
      </c>
      <c r="L502" t="s">
        <v>16</v>
      </c>
    </row>
    <row r="503" spans="1:12" ht="14.25" x14ac:dyDescent="0.2">
      <c r="A503">
        <v>501</v>
      </c>
      <c r="B503">
        <v>2022</v>
      </c>
      <c r="C503" t="s">
        <v>11</v>
      </c>
      <c r="D503" t="s">
        <v>12</v>
      </c>
      <c r="E503" t="s">
        <v>81</v>
      </c>
      <c r="F503">
        <v>30000</v>
      </c>
      <c r="G503" t="s">
        <v>14</v>
      </c>
      <c r="H503">
        <v>32974</v>
      </c>
      <c r="I503" t="s">
        <v>140</v>
      </c>
      <c r="J503">
        <v>100</v>
      </c>
      <c r="K503" t="s">
        <v>140</v>
      </c>
      <c r="L503" t="s">
        <v>21</v>
      </c>
    </row>
    <row r="504" spans="1:12" ht="14.25" x14ac:dyDescent="0.2">
      <c r="A504">
        <v>502</v>
      </c>
      <c r="B504">
        <v>2022</v>
      </c>
      <c r="C504" t="s">
        <v>30</v>
      </c>
      <c r="D504" t="s">
        <v>12</v>
      </c>
      <c r="E504" t="s">
        <v>13</v>
      </c>
      <c r="F504">
        <v>40000</v>
      </c>
      <c r="G504" t="s">
        <v>19</v>
      </c>
      <c r="H504">
        <v>40000</v>
      </c>
      <c r="I504" t="s">
        <v>20</v>
      </c>
      <c r="J504">
        <v>100</v>
      </c>
      <c r="K504" t="s">
        <v>139</v>
      </c>
      <c r="L504" t="s">
        <v>16</v>
      </c>
    </row>
    <row r="505" spans="1:12" ht="14.25" x14ac:dyDescent="0.2">
      <c r="A505">
        <v>503</v>
      </c>
      <c r="B505">
        <v>2022</v>
      </c>
      <c r="C505" t="s">
        <v>11</v>
      </c>
      <c r="D505" t="s">
        <v>12</v>
      </c>
      <c r="E505" t="s">
        <v>28</v>
      </c>
      <c r="F505">
        <v>121000</v>
      </c>
      <c r="G505" t="s">
        <v>141</v>
      </c>
      <c r="H505">
        <v>87425</v>
      </c>
      <c r="I505" t="s">
        <v>142</v>
      </c>
      <c r="J505">
        <v>100</v>
      </c>
      <c r="K505" t="s">
        <v>142</v>
      </c>
      <c r="L505" t="s">
        <v>16</v>
      </c>
    </row>
    <row r="506" spans="1:12" ht="14.25" x14ac:dyDescent="0.2">
      <c r="A506">
        <v>504</v>
      </c>
      <c r="B506">
        <v>2022</v>
      </c>
      <c r="C506" t="s">
        <v>17</v>
      </c>
      <c r="D506" t="s">
        <v>12</v>
      </c>
      <c r="E506" t="s">
        <v>43</v>
      </c>
      <c r="F506">
        <v>115000</v>
      </c>
      <c r="G506" t="s">
        <v>19</v>
      </c>
      <c r="H506">
        <v>115000</v>
      </c>
      <c r="I506" t="s">
        <v>29</v>
      </c>
      <c r="J506">
        <v>100</v>
      </c>
      <c r="K506" t="s">
        <v>29</v>
      </c>
      <c r="L506" t="s">
        <v>25</v>
      </c>
    </row>
    <row r="507" spans="1:12" ht="14.25" x14ac:dyDescent="0.2">
      <c r="A507">
        <v>505</v>
      </c>
      <c r="B507">
        <v>2022</v>
      </c>
      <c r="C507" t="s">
        <v>30</v>
      </c>
      <c r="D507" t="s">
        <v>12</v>
      </c>
      <c r="E507" t="s">
        <v>13</v>
      </c>
      <c r="F507">
        <v>120000</v>
      </c>
      <c r="G507" t="s">
        <v>141</v>
      </c>
      <c r="H507">
        <v>86703</v>
      </c>
      <c r="I507" t="s">
        <v>142</v>
      </c>
      <c r="J507">
        <v>50</v>
      </c>
      <c r="K507" t="s">
        <v>142</v>
      </c>
      <c r="L507" t="s">
        <v>25</v>
      </c>
    </row>
    <row r="508" spans="1:12" ht="14.25" x14ac:dyDescent="0.2">
      <c r="A508">
        <v>506</v>
      </c>
      <c r="B508">
        <v>2022</v>
      </c>
      <c r="C508" t="s">
        <v>11</v>
      </c>
      <c r="D508" t="s">
        <v>12</v>
      </c>
      <c r="E508" t="s">
        <v>100</v>
      </c>
      <c r="F508">
        <v>75000</v>
      </c>
      <c r="G508" t="s">
        <v>19</v>
      </c>
      <c r="H508">
        <v>75000</v>
      </c>
      <c r="I508" t="s">
        <v>143</v>
      </c>
      <c r="J508">
        <v>100</v>
      </c>
      <c r="K508" t="s">
        <v>29</v>
      </c>
      <c r="L508" t="s">
        <v>16</v>
      </c>
    </row>
    <row r="509" spans="1:12" ht="14.25" x14ac:dyDescent="0.2">
      <c r="A509">
        <v>507</v>
      </c>
      <c r="B509">
        <v>2022</v>
      </c>
      <c r="C509" t="s">
        <v>11</v>
      </c>
      <c r="D509" t="s">
        <v>12</v>
      </c>
      <c r="E509" t="s">
        <v>55</v>
      </c>
      <c r="F509">
        <v>59000</v>
      </c>
      <c r="G509" t="s">
        <v>14</v>
      </c>
      <c r="H509">
        <v>64849</v>
      </c>
      <c r="I509" t="s">
        <v>64</v>
      </c>
      <c r="J509">
        <v>0</v>
      </c>
      <c r="K509" t="s">
        <v>64</v>
      </c>
      <c r="L509" t="s">
        <v>16</v>
      </c>
    </row>
    <row r="510" spans="1:12" ht="14.25" x14ac:dyDescent="0.2">
      <c r="A510">
        <v>508</v>
      </c>
      <c r="B510">
        <v>2022</v>
      </c>
      <c r="C510" t="s">
        <v>30</v>
      </c>
      <c r="D510" t="s">
        <v>12</v>
      </c>
      <c r="E510" t="s">
        <v>55</v>
      </c>
      <c r="F510">
        <v>120000</v>
      </c>
      <c r="G510" t="s">
        <v>19</v>
      </c>
      <c r="H510">
        <v>120000</v>
      </c>
      <c r="I510" t="s">
        <v>29</v>
      </c>
      <c r="J510">
        <v>100</v>
      </c>
      <c r="K510" t="s">
        <v>29</v>
      </c>
      <c r="L510" t="s">
        <v>16</v>
      </c>
    </row>
    <row r="511" spans="1:12" ht="14.25" x14ac:dyDescent="0.2">
      <c r="A511">
        <v>509</v>
      </c>
      <c r="B511">
        <v>2022</v>
      </c>
      <c r="C511" t="s">
        <v>11</v>
      </c>
      <c r="D511" t="s">
        <v>12</v>
      </c>
      <c r="E511" t="s">
        <v>84</v>
      </c>
      <c r="F511">
        <v>157000</v>
      </c>
      <c r="G511" t="s">
        <v>19</v>
      </c>
      <c r="H511">
        <v>157000</v>
      </c>
      <c r="I511" t="s">
        <v>29</v>
      </c>
      <c r="J511">
        <v>100</v>
      </c>
      <c r="K511" t="s">
        <v>29</v>
      </c>
      <c r="L511" t="s">
        <v>16</v>
      </c>
    </row>
    <row r="512" spans="1:12" ht="14.25" x14ac:dyDescent="0.2">
      <c r="A512">
        <v>510</v>
      </c>
      <c r="B512">
        <v>2022</v>
      </c>
      <c r="C512" t="s">
        <v>30</v>
      </c>
      <c r="D512" t="s">
        <v>12</v>
      </c>
      <c r="E512" t="s">
        <v>93</v>
      </c>
      <c r="F512">
        <v>150000</v>
      </c>
      <c r="G512" t="s">
        <v>19</v>
      </c>
      <c r="H512">
        <v>150000</v>
      </c>
      <c r="I512" t="s">
        <v>142</v>
      </c>
      <c r="J512">
        <v>100</v>
      </c>
      <c r="K512" t="s">
        <v>142</v>
      </c>
      <c r="L512" t="s">
        <v>21</v>
      </c>
    </row>
    <row r="513" spans="1:12" ht="14.25" x14ac:dyDescent="0.2">
      <c r="A513">
        <v>511</v>
      </c>
      <c r="B513">
        <v>2022</v>
      </c>
      <c r="C513" t="s">
        <v>11</v>
      </c>
      <c r="D513" t="s">
        <v>12</v>
      </c>
      <c r="E513" t="s">
        <v>35</v>
      </c>
      <c r="F513">
        <v>90000</v>
      </c>
      <c r="G513" t="s">
        <v>61</v>
      </c>
      <c r="H513">
        <v>70912</v>
      </c>
      <c r="I513" t="s">
        <v>62</v>
      </c>
      <c r="J513">
        <v>50</v>
      </c>
      <c r="K513" t="s">
        <v>62</v>
      </c>
      <c r="L513" t="s">
        <v>16</v>
      </c>
    </row>
    <row r="514" spans="1:12" ht="14.25" x14ac:dyDescent="0.2">
      <c r="A514">
        <v>512</v>
      </c>
      <c r="B514">
        <v>2022</v>
      </c>
      <c r="C514" t="s">
        <v>30</v>
      </c>
      <c r="D514" t="s">
        <v>12</v>
      </c>
      <c r="E514" t="s">
        <v>43</v>
      </c>
      <c r="F514">
        <v>65000</v>
      </c>
      <c r="G514" t="s">
        <v>19</v>
      </c>
      <c r="H514">
        <v>65000</v>
      </c>
      <c r="I514" t="s">
        <v>29</v>
      </c>
      <c r="J514">
        <v>100</v>
      </c>
      <c r="K514" t="s">
        <v>29</v>
      </c>
      <c r="L514" t="s">
        <v>21</v>
      </c>
    </row>
    <row r="515" spans="1:12" ht="14.25" x14ac:dyDescent="0.2">
      <c r="A515">
        <v>513</v>
      </c>
      <c r="B515">
        <v>2022</v>
      </c>
      <c r="C515" t="s">
        <v>17</v>
      </c>
      <c r="D515" t="s">
        <v>12</v>
      </c>
      <c r="E515" t="s">
        <v>28</v>
      </c>
      <c r="F515">
        <v>65000</v>
      </c>
      <c r="G515" t="s">
        <v>14</v>
      </c>
      <c r="H515">
        <v>71444</v>
      </c>
      <c r="I515" t="s">
        <v>144</v>
      </c>
      <c r="J515">
        <v>100</v>
      </c>
      <c r="K515" t="s">
        <v>144</v>
      </c>
      <c r="L515" t="s">
        <v>21</v>
      </c>
    </row>
    <row r="516" spans="1:12" ht="14.25" x14ac:dyDescent="0.2">
      <c r="A516">
        <v>514</v>
      </c>
      <c r="B516">
        <v>2022</v>
      </c>
      <c r="C516" t="s">
        <v>30</v>
      </c>
      <c r="D516" t="s">
        <v>12</v>
      </c>
      <c r="E516" t="s">
        <v>83</v>
      </c>
      <c r="F516">
        <v>20000</v>
      </c>
      <c r="G516" t="s">
        <v>19</v>
      </c>
      <c r="H516">
        <v>20000</v>
      </c>
      <c r="I516" t="s">
        <v>42</v>
      </c>
      <c r="J516">
        <v>0</v>
      </c>
      <c r="K516" t="s">
        <v>42</v>
      </c>
      <c r="L516" t="s">
        <v>25</v>
      </c>
    </row>
    <row r="517" spans="1:12" ht="14.25" x14ac:dyDescent="0.2">
      <c r="A517">
        <v>515</v>
      </c>
      <c r="B517">
        <v>2022</v>
      </c>
      <c r="C517" t="s">
        <v>11</v>
      </c>
      <c r="D517" t="s">
        <v>12</v>
      </c>
      <c r="E517" t="s">
        <v>13</v>
      </c>
      <c r="F517">
        <v>48000</v>
      </c>
      <c r="G517" t="s">
        <v>19</v>
      </c>
      <c r="H517">
        <v>48000</v>
      </c>
      <c r="I517" t="s">
        <v>75</v>
      </c>
      <c r="J517">
        <v>100</v>
      </c>
      <c r="K517" t="s">
        <v>29</v>
      </c>
      <c r="L517" t="s">
        <v>21</v>
      </c>
    </row>
    <row r="518" spans="1:12" ht="14.25" x14ac:dyDescent="0.2">
      <c r="A518">
        <v>516</v>
      </c>
      <c r="B518">
        <v>2022</v>
      </c>
      <c r="C518" t="s">
        <v>17</v>
      </c>
      <c r="D518" t="s">
        <v>12</v>
      </c>
      <c r="E518" t="s">
        <v>79</v>
      </c>
      <c r="F518">
        <v>152500</v>
      </c>
      <c r="G518" t="s">
        <v>19</v>
      </c>
      <c r="H518">
        <v>152500</v>
      </c>
      <c r="I518" t="s">
        <v>29</v>
      </c>
      <c r="J518">
        <v>100</v>
      </c>
      <c r="K518" t="s">
        <v>29</v>
      </c>
      <c r="L518" t="s">
        <v>25</v>
      </c>
    </row>
    <row r="519" spans="1:12" ht="14.25" x14ac:dyDescent="0.2">
      <c r="A519">
        <v>517</v>
      </c>
      <c r="B519">
        <v>2022</v>
      </c>
      <c r="C519" t="s">
        <v>11</v>
      </c>
      <c r="D519" t="s">
        <v>12</v>
      </c>
      <c r="E519" t="s">
        <v>43</v>
      </c>
      <c r="F519">
        <v>62000</v>
      </c>
      <c r="G519" t="s">
        <v>14</v>
      </c>
      <c r="H519">
        <v>68147</v>
      </c>
      <c r="I519" t="s">
        <v>38</v>
      </c>
      <c r="J519">
        <v>100</v>
      </c>
      <c r="K519" t="s">
        <v>38</v>
      </c>
      <c r="L519" t="s">
        <v>25</v>
      </c>
    </row>
    <row r="520" spans="1:12" ht="14.25" x14ac:dyDescent="0.2">
      <c r="A520">
        <v>518</v>
      </c>
      <c r="B520">
        <v>2022</v>
      </c>
      <c r="C520" t="s">
        <v>11</v>
      </c>
      <c r="D520" t="s">
        <v>12</v>
      </c>
      <c r="E520" t="s">
        <v>13</v>
      </c>
      <c r="F520">
        <v>115000</v>
      </c>
      <c r="G520" t="s">
        <v>145</v>
      </c>
      <c r="H520">
        <v>122346</v>
      </c>
      <c r="I520" t="s">
        <v>120</v>
      </c>
      <c r="J520">
        <v>0</v>
      </c>
      <c r="K520" t="s">
        <v>120</v>
      </c>
      <c r="L520" t="s">
        <v>16</v>
      </c>
    </row>
    <row r="521" spans="1:12" ht="14.25" x14ac:dyDescent="0.2">
      <c r="A521">
        <v>519</v>
      </c>
      <c r="B521">
        <v>2022</v>
      </c>
      <c r="C521" t="s">
        <v>17</v>
      </c>
      <c r="D521" t="s">
        <v>12</v>
      </c>
      <c r="E521" t="s">
        <v>84</v>
      </c>
      <c r="F521">
        <v>380000</v>
      </c>
      <c r="G521" t="s">
        <v>19</v>
      </c>
      <c r="H521">
        <v>380000</v>
      </c>
      <c r="I521" t="s">
        <v>29</v>
      </c>
      <c r="J521">
        <v>100</v>
      </c>
      <c r="K521" t="s">
        <v>29</v>
      </c>
      <c r="L521" t="s">
        <v>16</v>
      </c>
    </row>
    <row r="522" spans="1:12" ht="14.25" x14ac:dyDescent="0.2">
      <c r="A522">
        <v>520</v>
      </c>
      <c r="B522">
        <v>2022</v>
      </c>
      <c r="C522" t="s">
        <v>11</v>
      </c>
      <c r="D522" t="s">
        <v>12</v>
      </c>
      <c r="E522" t="s">
        <v>13</v>
      </c>
      <c r="F522">
        <v>88000</v>
      </c>
      <c r="G522" t="s">
        <v>61</v>
      </c>
      <c r="H522">
        <v>69336</v>
      </c>
      <c r="I522" t="s">
        <v>62</v>
      </c>
      <c r="J522">
        <v>100</v>
      </c>
      <c r="K522" t="s">
        <v>62</v>
      </c>
      <c r="L522" t="s">
        <v>25</v>
      </c>
    </row>
    <row r="523" spans="1:12" ht="14.25" x14ac:dyDescent="0.2">
      <c r="A523">
        <v>521</v>
      </c>
      <c r="B523">
        <v>2022</v>
      </c>
      <c r="C523" t="s">
        <v>30</v>
      </c>
      <c r="D523" t="s">
        <v>12</v>
      </c>
      <c r="E523" t="s">
        <v>74</v>
      </c>
      <c r="F523">
        <v>10000</v>
      </c>
      <c r="G523" t="s">
        <v>19</v>
      </c>
      <c r="H523">
        <v>10000</v>
      </c>
      <c r="I523" t="s">
        <v>47</v>
      </c>
      <c r="J523">
        <v>100</v>
      </c>
      <c r="K523" t="s">
        <v>80</v>
      </c>
      <c r="L523" t="s">
        <v>25</v>
      </c>
    </row>
    <row r="524" spans="1:12" ht="14.25" x14ac:dyDescent="0.2">
      <c r="A524">
        <v>522</v>
      </c>
      <c r="B524">
        <v>2022</v>
      </c>
      <c r="C524" t="s">
        <v>11</v>
      </c>
      <c r="D524" t="s">
        <v>12</v>
      </c>
      <c r="E524" t="s">
        <v>31</v>
      </c>
      <c r="F524">
        <v>20000</v>
      </c>
      <c r="G524" t="s">
        <v>19</v>
      </c>
      <c r="H524">
        <v>20000</v>
      </c>
      <c r="I524" t="s">
        <v>50</v>
      </c>
      <c r="J524">
        <v>100</v>
      </c>
      <c r="K524" t="s">
        <v>50</v>
      </c>
      <c r="L524" t="s">
        <v>21</v>
      </c>
    </row>
    <row r="525" spans="1:12" ht="14.25" x14ac:dyDescent="0.2">
      <c r="A525">
        <v>523</v>
      </c>
      <c r="B525">
        <v>2022</v>
      </c>
      <c r="C525" t="s">
        <v>17</v>
      </c>
      <c r="D525" t="s">
        <v>12</v>
      </c>
      <c r="E525" t="s">
        <v>146</v>
      </c>
      <c r="F525">
        <v>405000</v>
      </c>
      <c r="G525" t="s">
        <v>19</v>
      </c>
      <c r="H525">
        <v>405000</v>
      </c>
      <c r="I525" t="s">
        <v>29</v>
      </c>
      <c r="J525">
        <v>100</v>
      </c>
      <c r="K525" t="s">
        <v>29</v>
      </c>
      <c r="L525" t="s">
        <v>16</v>
      </c>
    </row>
    <row r="526" spans="1:12" ht="14.25" x14ac:dyDescent="0.2">
      <c r="A526">
        <v>524</v>
      </c>
      <c r="B526">
        <v>2022</v>
      </c>
      <c r="C526" t="s">
        <v>11</v>
      </c>
      <c r="D526" t="s">
        <v>12</v>
      </c>
      <c r="E526" t="s">
        <v>13</v>
      </c>
      <c r="F526">
        <v>135000</v>
      </c>
      <c r="G526" t="s">
        <v>19</v>
      </c>
      <c r="H526">
        <v>135000</v>
      </c>
      <c r="I526" t="s">
        <v>29</v>
      </c>
      <c r="J526">
        <v>100</v>
      </c>
      <c r="K526" t="s">
        <v>29</v>
      </c>
      <c r="L526" t="s">
        <v>16</v>
      </c>
    </row>
    <row r="527" spans="1:12" ht="14.25" x14ac:dyDescent="0.2">
      <c r="A527">
        <v>525</v>
      </c>
      <c r="B527">
        <v>2022</v>
      </c>
      <c r="C527" t="s">
        <v>17</v>
      </c>
      <c r="D527" t="s">
        <v>12</v>
      </c>
      <c r="E527" t="s">
        <v>84</v>
      </c>
      <c r="F527">
        <v>177000</v>
      </c>
      <c r="G527" t="s">
        <v>19</v>
      </c>
      <c r="H527">
        <v>177000</v>
      </c>
      <c r="I527" t="s">
        <v>29</v>
      </c>
      <c r="J527">
        <v>100</v>
      </c>
      <c r="K527" t="s">
        <v>29</v>
      </c>
      <c r="L527" t="s">
        <v>16</v>
      </c>
    </row>
    <row r="528" spans="1:12" ht="14.25" x14ac:dyDescent="0.2">
      <c r="A528">
        <v>526</v>
      </c>
      <c r="B528">
        <v>2022</v>
      </c>
      <c r="C528" t="s">
        <v>11</v>
      </c>
      <c r="D528" t="s">
        <v>12</v>
      </c>
      <c r="E528" t="s">
        <v>13</v>
      </c>
      <c r="F528">
        <v>78000</v>
      </c>
      <c r="G528" t="s">
        <v>19</v>
      </c>
      <c r="H528">
        <v>78000</v>
      </c>
      <c r="I528" t="s">
        <v>29</v>
      </c>
      <c r="J528">
        <v>100</v>
      </c>
      <c r="K528" t="s">
        <v>29</v>
      </c>
      <c r="L528" t="s">
        <v>25</v>
      </c>
    </row>
    <row r="529" spans="1:12" ht="14.25" x14ac:dyDescent="0.2">
      <c r="A529">
        <v>527</v>
      </c>
      <c r="B529">
        <v>2022</v>
      </c>
      <c r="C529" t="s">
        <v>17</v>
      </c>
      <c r="D529" t="s">
        <v>12</v>
      </c>
      <c r="E529" t="s">
        <v>31</v>
      </c>
      <c r="F529">
        <v>135000</v>
      </c>
      <c r="G529" t="s">
        <v>19</v>
      </c>
      <c r="H529">
        <v>135000</v>
      </c>
      <c r="I529" t="s">
        <v>29</v>
      </c>
      <c r="J529">
        <v>100</v>
      </c>
      <c r="K529" t="s">
        <v>29</v>
      </c>
      <c r="L529" t="s">
        <v>25</v>
      </c>
    </row>
    <row r="530" spans="1:12" ht="14.25" x14ac:dyDescent="0.2">
      <c r="A530">
        <v>528</v>
      </c>
      <c r="B530">
        <v>2022</v>
      </c>
      <c r="C530" t="s">
        <v>17</v>
      </c>
      <c r="D530" t="s">
        <v>12</v>
      </c>
      <c r="E530" t="s">
        <v>31</v>
      </c>
      <c r="F530">
        <v>100000</v>
      </c>
      <c r="G530" t="s">
        <v>19</v>
      </c>
      <c r="H530">
        <v>100000</v>
      </c>
      <c r="I530" t="s">
        <v>29</v>
      </c>
      <c r="J530">
        <v>100</v>
      </c>
      <c r="K530" t="s">
        <v>29</v>
      </c>
      <c r="L530" t="s">
        <v>25</v>
      </c>
    </row>
    <row r="531" spans="1:12" ht="14.25" x14ac:dyDescent="0.2">
      <c r="A531">
        <v>529</v>
      </c>
      <c r="B531">
        <v>2022</v>
      </c>
      <c r="C531" t="s">
        <v>17</v>
      </c>
      <c r="D531" t="s">
        <v>12</v>
      </c>
      <c r="E531" t="s">
        <v>31</v>
      </c>
      <c r="F531">
        <v>90320</v>
      </c>
      <c r="G531" t="s">
        <v>19</v>
      </c>
      <c r="H531">
        <v>90320</v>
      </c>
      <c r="I531" t="s">
        <v>29</v>
      </c>
      <c r="J531">
        <v>100</v>
      </c>
      <c r="K531" t="s">
        <v>29</v>
      </c>
      <c r="L531" t="s">
        <v>25</v>
      </c>
    </row>
    <row r="532" spans="1:12" ht="14.25" x14ac:dyDescent="0.2">
      <c r="A532">
        <v>530</v>
      </c>
      <c r="B532">
        <v>2022</v>
      </c>
      <c r="C532" t="s">
        <v>11</v>
      </c>
      <c r="D532" t="s">
        <v>12</v>
      </c>
      <c r="E532" t="s">
        <v>31</v>
      </c>
      <c r="F532">
        <v>85000</v>
      </c>
      <c r="G532" t="s">
        <v>19</v>
      </c>
      <c r="H532">
        <v>85000</v>
      </c>
      <c r="I532" t="s">
        <v>62</v>
      </c>
      <c r="J532">
        <v>0</v>
      </c>
      <c r="K532" t="s">
        <v>62</v>
      </c>
      <c r="L532" t="s">
        <v>25</v>
      </c>
    </row>
    <row r="533" spans="1:12" ht="14.25" x14ac:dyDescent="0.2">
      <c r="A533">
        <v>531</v>
      </c>
      <c r="B533">
        <v>2022</v>
      </c>
      <c r="C533" t="s">
        <v>11</v>
      </c>
      <c r="D533" t="s">
        <v>12</v>
      </c>
      <c r="E533" t="s">
        <v>31</v>
      </c>
      <c r="F533">
        <v>75000</v>
      </c>
      <c r="G533" t="s">
        <v>19</v>
      </c>
      <c r="H533">
        <v>75000</v>
      </c>
      <c r="I533" t="s">
        <v>62</v>
      </c>
      <c r="J533">
        <v>0</v>
      </c>
      <c r="K533" t="s">
        <v>62</v>
      </c>
      <c r="L533" t="s">
        <v>25</v>
      </c>
    </row>
    <row r="534" spans="1:12" ht="14.25" x14ac:dyDescent="0.2">
      <c r="A534">
        <v>532</v>
      </c>
      <c r="B534">
        <v>2022</v>
      </c>
      <c r="C534" t="s">
        <v>17</v>
      </c>
      <c r="D534" t="s">
        <v>12</v>
      </c>
      <c r="E534" t="s">
        <v>28</v>
      </c>
      <c r="F534">
        <v>214000</v>
      </c>
      <c r="G534" t="s">
        <v>19</v>
      </c>
      <c r="H534">
        <v>214000</v>
      </c>
      <c r="I534" t="s">
        <v>29</v>
      </c>
      <c r="J534">
        <v>100</v>
      </c>
      <c r="K534" t="s">
        <v>29</v>
      </c>
      <c r="L534" t="s">
        <v>25</v>
      </c>
    </row>
    <row r="535" spans="1:12" ht="14.25" x14ac:dyDescent="0.2">
      <c r="A535">
        <v>533</v>
      </c>
      <c r="B535">
        <v>2022</v>
      </c>
      <c r="C535" t="s">
        <v>17</v>
      </c>
      <c r="D535" t="s">
        <v>12</v>
      </c>
      <c r="E535" t="s">
        <v>28</v>
      </c>
      <c r="F535">
        <v>192600</v>
      </c>
      <c r="G535" t="s">
        <v>19</v>
      </c>
      <c r="H535">
        <v>192600</v>
      </c>
      <c r="I535" t="s">
        <v>29</v>
      </c>
      <c r="J535">
        <v>100</v>
      </c>
      <c r="K535" t="s">
        <v>29</v>
      </c>
      <c r="L535" t="s">
        <v>25</v>
      </c>
    </row>
    <row r="536" spans="1:12" ht="14.25" x14ac:dyDescent="0.2">
      <c r="A536">
        <v>534</v>
      </c>
      <c r="B536">
        <v>2022</v>
      </c>
      <c r="C536" t="s">
        <v>17</v>
      </c>
      <c r="D536" t="s">
        <v>12</v>
      </c>
      <c r="E536" t="s">
        <v>109</v>
      </c>
      <c r="F536">
        <v>266400</v>
      </c>
      <c r="G536" t="s">
        <v>19</v>
      </c>
      <c r="H536">
        <v>266400</v>
      </c>
      <c r="I536" t="s">
        <v>29</v>
      </c>
      <c r="J536">
        <v>100</v>
      </c>
      <c r="K536" t="s">
        <v>29</v>
      </c>
      <c r="L536" t="s">
        <v>25</v>
      </c>
    </row>
    <row r="537" spans="1:12" ht="14.25" x14ac:dyDescent="0.2">
      <c r="A537">
        <v>535</v>
      </c>
      <c r="B537">
        <v>2022</v>
      </c>
      <c r="C537" t="s">
        <v>17</v>
      </c>
      <c r="D537" t="s">
        <v>12</v>
      </c>
      <c r="E537" t="s">
        <v>109</v>
      </c>
      <c r="F537">
        <v>213120</v>
      </c>
      <c r="G537" t="s">
        <v>19</v>
      </c>
      <c r="H537">
        <v>213120</v>
      </c>
      <c r="I537" t="s">
        <v>29</v>
      </c>
      <c r="J537">
        <v>100</v>
      </c>
      <c r="K537" t="s">
        <v>29</v>
      </c>
      <c r="L537" t="s">
        <v>25</v>
      </c>
    </row>
    <row r="538" spans="1:12" ht="14.25" x14ac:dyDescent="0.2">
      <c r="A538">
        <v>536</v>
      </c>
      <c r="B538">
        <v>2022</v>
      </c>
      <c r="C538" t="s">
        <v>17</v>
      </c>
      <c r="D538" t="s">
        <v>12</v>
      </c>
      <c r="E538" t="s">
        <v>31</v>
      </c>
      <c r="F538">
        <v>112900</v>
      </c>
      <c r="G538" t="s">
        <v>19</v>
      </c>
      <c r="H538">
        <v>112900</v>
      </c>
      <c r="I538" t="s">
        <v>29</v>
      </c>
      <c r="J538">
        <v>100</v>
      </c>
      <c r="K538" t="s">
        <v>29</v>
      </c>
      <c r="L538" t="s">
        <v>25</v>
      </c>
    </row>
    <row r="539" spans="1:12" ht="14.25" x14ac:dyDescent="0.2">
      <c r="A539">
        <v>537</v>
      </c>
      <c r="B539">
        <v>2022</v>
      </c>
      <c r="C539" t="s">
        <v>17</v>
      </c>
      <c r="D539" t="s">
        <v>12</v>
      </c>
      <c r="E539" t="s">
        <v>43</v>
      </c>
      <c r="F539">
        <v>155000</v>
      </c>
      <c r="G539" t="s">
        <v>19</v>
      </c>
      <c r="H539">
        <v>155000</v>
      </c>
      <c r="I539" t="s">
        <v>29</v>
      </c>
      <c r="J539">
        <v>100</v>
      </c>
      <c r="K539" t="s">
        <v>29</v>
      </c>
      <c r="L539" t="s">
        <v>25</v>
      </c>
    </row>
    <row r="540" spans="1:12" ht="14.25" x14ac:dyDescent="0.2">
      <c r="A540">
        <v>538</v>
      </c>
      <c r="B540">
        <v>2022</v>
      </c>
      <c r="C540" t="s">
        <v>11</v>
      </c>
      <c r="D540" t="s">
        <v>12</v>
      </c>
      <c r="E540" t="s">
        <v>13</v>
      </c>
      <c r="F540">
        <v>141300</v>
      </c>
      <c r="G540" t="s">
        <v>19</v>
      </c>
      <c r="H540">
        <v>141300</v>
      </c>
      <c r="I540" t="s">
        <v>29</v>
      </c>
      <c r="J540">
        <v>0</v>
      </c>
      <c r="K540" t="s">
        <v>29</v>
      </c>
      <c r="L540" t="s">
        <v>25</v>
      </c>
    </row>
    <row r="541" spans="1:12" ht="14.25" x14ac:dyDescent="0.2">
      <c r="A541">
        <v>539</v>
      </c>
      <c r="B541">
        <v>2022</v>
      </c>
      <c r="C541" t="s">
        <v>11</v>
      </c>
      <c r="D541" t="s">
        <v>12</v>
      </c>
      <c r="E541" t="s">
        <v>13</v>
      </c>
      <c r="F541">
        <v>102100</v>
      </c>
      <c r="G541" t="s">
        <v>19</v>
      </c>
      <c r="H541">
        <v>102100</v>
      </c>
      <c r="I541" t="s">
        <v>29</v>
      </c>
      <c r="J541">
        <v>0</v>
      </c>
      <c r="K541" t="s">
        <v>29</v>
      </c>
      <c r="L541" t="s">
        <v>25</v>
      </c>
    </row>
    <row r="542" spans="1:12" ht="14.25" x14ac:dyDescent="0.2">
      <c r="A542">
        <v>540</v>
      </c>
      <c r="B542">
        <v>2022</v>
      </c>
      <c r="C542" t="s">
        <v>17</v>
      </c>
      <c r="D542" t="s">
        <v>12</v>
      </c>
      <c r="E542" t="s">
        <v>31</v>
      </c>
      <c r="F542">
        <v>115934</v>
      </c>
      <c r="G542" t="s">
        <v>19</v>
      </c>
      <c r="H542">
        <v>115934</v>
      </c>
      <c r="I542" t="s">
        <v>29</v>
      </c>
      <c r="J542">
        <v>100</v>
      </c>
      <c r="K542" t="s">
        <v>29</v>
      </c>
      <c r="L542" t="s">
        <v>25</v>
      </c>
    </row>
    <row r="543" spans="1:12" ht="14.25" x14ac:dyDescent="0.2">
      <c r="A543">
        <v>541</v>
      </c>
      <c r="B543">
        <v>2022</v>
      </c>
      <c r="C543" t="s">
        <v>17</v>
      </c>
      <c r="D543" t="s">
        <v>12</v>
      </c>
      <c r="E543" t="s">
        <v>31</v>
      </c>
      <c r="F543">
        <v>81666</v>
      </c>
      <c r="G543" t="s">
        <v>19</v>
      </c>
      <c r="H543">
        <v>81666</v>
      </c>
      <c r="I543" t="s">
        <v>29</v>
      </c>
      <c r="J543">
        <v>100</v>
      </c>
      <c r="K543" t="s">
        <v>29</v>
      </c>
      <c r="L543" t="s">
        <v>25</v>
      </c>
    </row>
    <row r="544" spans="1:12" ht="14.25" x14ac:dyDescent="0.2">
      <c r="A544">
        <v>542</v>
      </c>
      <c r="B544">
        <v>2022</v>
      </c>
      <c r="C544" t="s">
        <v>11</v>
      </c>
      <c r="D544" t="s">
        <v>12</v>
      </c>
      <c r="E544" t="s">
        <v>43</v>
      </c>
      <c r="F544">
        <v>206699</v>
      </c>
      <c r="G544" t="s">
        <v>19</v>
      </c>
      <c r="H544">
        <v>206699</v>
      </c>
      <c r="I544" t="s">
        <v>29</v>
      </c>
      <c r="J544">
        <v>0</v>
      </c>
      <c r="K544" t="s">
        <v>29</v>
      </c>
      <c r="L544" t="s">
        <v>25</v>
      </c>
    </row>
    <row r="545" spans="1:12" ht="14.25" x14ac:dyDescent="0.2">
      <c r="A545">
        <v>543</v>
      </c>
      <c r="B545">
        <v>2022</v>
      </c>
      <c r="C545" t="s">
        <v>11</v>
      </c>
      <c r="D545" t="s">
        <v>12</v>
      </c>
      <c r="E545" t="s">
        <v>43</v>
      </c>
      <c r="F545">
        <v>99100</v>
      </c>
      <c r="G545" t="s">
        <v>19</v>
      </c>
      <c r="H545">
        <v>99100</v>
      </c>
      <c r="I545" t="s">
        <v>29</v>
      </c>
      <c r="J545">
        <v>0</v>
      </c>
      <c r="K545" t="s">
        <v>29</v>
      </c>
      <c r="L545" t="s">
        <v>25</v>
      </c>
    </row>
    <row r="546" spans="1:12" ht="14.25" x14ac:dyDescent="0.2">
      <c r="A546">
        <v>544</v>
      </c>
      <c r="B546">
        <v>2022</v>
      </c>
      <c r="C546" t="s">
        <v>17</v>
      </c>
      <c r="D546" t="s">
        <v>12</v>
      </c>
      <c r="E546" t="s">
        <v>43</v>
      </c>
      <c r="F546">
        <v>130000</v>
      </c>
      <c r="G546" t="s">
        <v>19</v>
      </c>
      <c r="H546">
        <v>130000</v>
      </c>
      <c r="I546" t="s">
        <v>29</v>
      </c>
      <c r="J546">
        <v>100</v>
      </c>
      <c r="K546" t="s">
        <v>29</v>
      </c>
      <c r="L546" t="s">
        <v>25</v>
      </c>
    </row>
    <row r="547" spans="1:12" ht="14.25" x14ac:dyDescent="0.2">
      <c r="A547">
        <v>545</v>
      </c>
      <c r="B547">
        <v>2022</v>
      </c>
      <c r="C547" t="s">
        <v>17</v>
      </c>
      <c r="D547" t="s">
        <v>12</v>
      </c>
      <c r="E547" t="s">
        <v>43</v>
      </c>
      <c r="F547">
        <v>115000</v>
      </c>
      <c r="G547" t="s">
        <v>19</v>
      </c>
      <c r="H547">
        <v>115000</v>
      </c>
      <c r="I547" t="s">
        <v>29</v>
      </c>
      <c r="J547">
        <v>100</v>
      </c>
      <c r="K547" t="s">
        <v>29</v>
      </c>
      <c r="L547" t="s">
        <v>25</v>
      </c>
    </row>
    <row r="548" spans="1:12" ht="14.25" x14ac:dyDescent="0.2">
      <c r="A548">
        <v>546</v>
      </c>
      <c r="B548">
        <v>2022</v>
      </c>
      <c r="C548" t="s">
        <v>17</v>
      </c>
      <c r="D548" t="s">
        <v>12</v>
      </c>
      <c r="E548" t="s">
        <v>43</v>
      </c>
      <c r="F548">
        <v>110500</v>
      </c>
      <c r="G548" t="s">
        <v>19</v>
      </c>
      <c r="H548">
        <v>110500</v>
      </c>
      <c r="I548" t="s">
        <v>29</v>
      </c>
      <c r="J548">
        <v>100</v>
      </c>
      <c r="K548" t="s">
        <v>29</v>
      </c>
      <c r="L548" t="s">
        <v>25</v>
      </c>
    </row>
    <row r="549" spans="1:12" ht="14.25" x14ac:dyDescent="0.2">
      <c r="A549">
        <v>547</v>
      </c>
      <c r="B549">
        <v>2022</v>
      </c>
      <c r="C549" t="s">
        <v>17</v>
      </c>
      <c r="D549" t="s">
        <v>12</v>
      </c>
      <c r="E549" t="s">
        <v>43</v>
      </c>
      <c r="F549">
        <v>130000</v>
      </c>
      <c r="G549" t="s">
        <v>19</v>
      </c>
      <c r="H549">
        <v>130000</v>
      </c>
      <c r="I549" t="s">
        <v>29</v>
      </c>
      <c r="J549">
        <v>100</v>
      </c>
      <c r="K549" t="s">
        <v>29</v>
      </c>
      <c r="L549" t="s">
        <v>25</v>
      </c>
    </row>
    <row r="550" spans="1:12" ht="14.25" x14ac:dyDescent="0.2">
      <c r="A550">
        <v>548</v>
      </c>
      <c r="B550">
        <v>2022</v>
      </c>
      <c r="C550" t="s">
        <v>17</v>
      </c>
      <c r="D550" t="s">
        <v>12</v>
      </c>
      <c r="E550" t="s">
        <v>31</v>
      </c>
      <c r="F550">
        <v>99050</v>
      </c>
      <c r="G550" t="s">
        <v>19</v>
      </c>
      <c r="H550">
        <v>99050</v>
      </c>
      <c r="I550" t="s">
        <v>29</v>
      </c>
      <c r="J550">
        <v>100</v>
      </c>
      <c r="K550" t="s">
        <v>29</v>
      </c>
      <c r="L550" t="s">
        <v>25</v>
      </c>
    </row>
    <row r="551" spans="1:12" ht="14.25" x14ac:dyDescent="0.2">
      <c r="A551">
        <v>549</v>
      </c>
      <c r="B551">
        <v>2022</v>
      </c>
      <c r="C551" t="s">
        <v>17</v>
      </c>
      <c r="D551" t="s">
        <v>12</v>
      </c>
      <c r="E551" t="s">
        <v>43</v>
      </c>
      <c r="F551">
        <v>160000</v>
      </c>
      <c r="G551" t="s">
        <v>19</v>
      </c>
      <c r="H551">
        <v>160000</v>
      </c>
      <c r="I551" t="s">
        <v>29</v>
      </c>
      <c r="J551">
        <v>100</v>
      </c>
      <c r="K551" t="s">
        <v>29</v>
      </c>
      <c r="L551" t="s">
        <v>25</v>
      </c>
    </row>
    <row r="552" spans="1:12" ht="14.25" x14ac:dyDescent="0.2">
      <c r="A552">
        <v>550</v>
      </c>
      <c r="B552">
        <v>2022</v>
      </c>
      <c r="C552" t="s">
        <v>17</v>
      </c>
      <c r="D552" t="s">
        <v>12</v>
      </c>
      <c r="E552" t="s">
        <v>13</v>
      </c>
      <c r="F552">
        <v>205300</v>
      </c>
      <c r="G552" t="s">
        <v>19</v>
      </c>
      <c r="H552">
        <v>205300</v>
      </c>
      <c r="I552" t="s">
        <v>29</v>
      </c>
      <c r="J552">
        <v>0</v>
      </c>
      <c r="K552" t="s">
        <v>29</v>
      </c>
      <c r="L552" t="s">
        <v>16</v>
      </c>
    </row>
    <row r="553" spans="1:12" ht="14.25" x14ac:dyDescent="0.2">
      <c r="A553">
        <v>551</v>
      </c>
      <c r="B553">
        <v>2022</v>
      </c>
      <c r="C553" t="s">
        <v>17</v>
      </c>
      <c r="D553" t="s">
        <v>12</v>
      </c>
      <c r="E553" t="s">
        <v>13</v>
      </c>
      <c r="F553">
        <v>140400</v>
      </c>
      <c r="G553" t="s">
        <v>19</v>
      </c>
      <c r="H553">
        <v>140400</v>
      </c>
      <c r="I553" t="s">
        <v>29</v>
      </c>
      <c r="J553">
        <v>0</v>
      </c>
      <c r="K553" t="s">
        <v>29</v>
      </c>
      <c r="L553" t="s">
        <v>16</v>
      </c>
    </row>
    <row r="554" spans="1:12" ht="14.25" x14ac:dyDescent="0.2">
      <c r="A554">
        <v>552</v>
      </c>
      <c r="B554">
        <v>2022</v>
      </c>
      <c r="C554" t="s">
        <v>17</v>
      </c>
      <c r="D554" t="s">
        <v>12</v>
      </c>
      <c r="E554" t="s">
        <v>13</v>
      </c>
      <c r="F554">
        <v>176000</v>
      </c>
      <c r="G554" t="s">
        <v>19</v>
      </c>
      <c r="H554">
        <v>176000</v>
      </c>
      <c r="I554" t="s">
        <v>29</v>
      </c>
      <c r="J554">
        <v>100</v>
      </c>
      <c r="K554" t="s">
        <v>29</v>
      </c>
      <c r="L554" t="s">
        <v>25</v>
      </c>
    </row>
    <row r="555" spans="1:12" ht="14.25" x14ac:dyDescent="0.2">
      <c r="A555">
        <v>553</v>
      </c>
      <c r="B555">
        <v>2022</v>
      </c>
      <c r="C555" t="s">
        <v>17</v>
      </c>
      <c r="D555" t="s">
        <v>12</v>
      </c>
      <c r="E555" t="s">
        <v>13</v>
      </c>
      <c r="F555">
        <v>144000</v>
      </c>
      <c r="G555" t="s">
        <v>19</v>
      </c>
      <c r="H555">
        <v>144000</v>
      </c>
      <c r="I555" t="s">
        <v>29</v>
      </c>
      <c r="J555">
        <v>100</v>
      </c>
      <c r="K555" t="s">
        <v>29</v>
      </c>
      <c r="L555" t="s">
        <v>25</v>
      </c>
    </row>
    <row r="556" spans="1:12" ht="14.25" x14ac:dyDescent="0.2">
      <c r="A556">
        <v>554</v>
      </c>
      <c r="B556">
        <v>2022</v>
      </c>
      <c r="C556" t="s">
        <v>17</v>
      </c>
      <c r="D556" t="s">
        <v>12</v>
      </c>
      <c r="E556" t="s">
        <v>43</v>
      </c>
      <c r="F556">
        <v>200100</v>
      </c>
      <c r="G556" t="s">
        <v>19</v>
      </c>
      <c r="H556">
        <v>200100</v>
      </c>
      <c r="I556" t="s">
        <v>29</v>
      </c>
      <c r="J556">
        <v>100</v>
      </c>
      <c r="K556" t="s">
        <v>29</v>
      </c>
      <c r="L556" t="s">
        <v>25</v>
      </c>
    </row>
    <row r="557" spans="1:12" ht="14.25" x14ac:dyDescent="0.2">
      <c r="A557">
        <v>555</v>
      </c>
      <c r="B557">
        <v>2022</v>
      </c>
      <c r="C557" t="s">
        <v>17</v>
      </c>
      <c r="D557" t="s">
        <v>12</v>
      </c>
      <c r="E557" t="s">
        <v>43</v>
      </c>
      <c r="F557">
        <v>160000</v>
      </c>
      <c r="G557" t="s">
        <v>19</v>
      </c>
      <c r="H557">
        <v>160000</v>
      </c>
      <c r="I557" t="s">
        <v>29</v>
      </c>
      <c r="J557">
        <v>100</v>
      </c>
      <c r="K557" t="s">
        <v>29</v>
      </c>
      <c r="L557" t="s">
        <v>25</v>
      </c>
    </row>
    <row r="558" spans="1:12" ht="14.25" x14ac:dyDescent="0.2">
      <c r="A558">
        <v>556</v>
      </c>
      <c r="B558">
        <v>2022</v>
      </c>
      <c r="C558" t="s">
        <v>17</v>
      </c>
      <c r="D558" t="s">
        <v>12</v>
      </c>
      <c r="E558" t="s">
        <v>43</v>
      </c>
      <c r="F558">
        <v>145000</v>
      </c>
      <c r="G558" t="s">
        <v>19</v>
      </c>
      <c r="H558">
        <v>145000</v>
      </c>
      <c r="I558" t="s">
        <v>29</v>
      </c>
      <c r="J558">
        <v>100</v>
      </c>
      <c r="K558" t="s">
        <v>29</v>
      </c>
      <c r="L558" t="s">
        <v>25</v>
      </c>
    </row>
    <row r="559" spans="1:12" ht="14.25" x14ac:dyDescent="0.2">
      <c r="A559">
        <v>557</v>
      </c>
      <c r="B559">
        <v>2022</v>
      </c>
      <c r="C559" t="s">
        <v>17</v>
      </c>
      <c r="D559" t="s">
        <v>12</v>
      </c>
      <c r="E559" t="s">
        <v>43</v>
      </c>
      <c r="F559">
        <v>70500</v>
      </c>
      <c r="G559" t="s">
        <v>19</v>
      </c>
      <c r="H559">
        <v>70500</v>
      </c>
      <c r="I559" t="s">
        <v>29</v>
      </c>
      <c r="J559">
        <v>0</v>
      </c>
      <c r="K559" t="s">
        <v>29</v>
      </c>
      <c r="L559" t="s">
        <v>25</v>
      </c>
    </row>
    <row r="560" spans="1:12" ht="14.25" x14ac:dyDescent="0.2">
      <c r="A560">
        <v>558</v>
      </c>
      <c r="B560">
        <v>2022</v>
      </c>
      <c r="C560" t="s">
        <v>17</v>
      </c>
      <c r="D560" t="s">
        <v>12</v>
      </c>
      <c r="E560" t="s">
        <v>13</v>
      </c>
      <c r="F560">
        <v>205300</v>
      </c>
      <c r="G560" t="s">
        <v>19</v>
      </c>
      <c r="H560">
        <v>205300</v>
      </c>
      <c r="I560" t="s">
        <v>29</v>
      </c>
      <c r="J560">
        <v>0</v>
      </c>
      <c r="K560" t="s">
        <v>29</v>
      </c>
      <c r="L560" t="s">
        <v>25</v>
      </c>
    </row>
    <row r="561" spans="1:12" ht="14.25" x14ac:dyDescent="0.2">
      <c r="A561">
        <v>559</v>
      </c>
      <c r="B561">
        <v>2022</v>
      </c>
      <c r="C561" t="s">
        <v>17</v>
      </c>
      <c r="D561" t="s">
        <v>12</v>
      </c>
      <c r="E561" t="s">
        <v>13</v>
      </c>
      <c r="F561">
        <v>140400</v>
      </c>
      <c r="G561" t="s">
        <v>19</v>
      </c>
      <c r="H561">
        <v>140400</v>
      </c>
      <c r="I561" t="s">
        <v>29</v>
      </c>
      <c r="J561">
        <v>0</v>
      </c>
      <c r="K561" t="s">
        <v>29</v>
      </c>
      <c r="L561" t="s">
        <v>25</v>
      </c>
    </row>
    <row r="562" spans="1:12" ht="14.25" x14ac:dyDescent="0.2">
      <c r="A562">
        <v>560</v>
      </c>
      <c r="B562">
        <v>2022</v>
      </c>
      <c r="C562" t="s">
        <v>17</v>
      </c>
      <c r="D562" t="s">
        <v>12</v>
      </c>
      <c r="E562" t="s">
        <v>131</v>
      </c>
      <c r="F562">
        <v>205300</v>
      </c>
      <c r="G562" t="s">
        <v>19</v>
      </c>
      <c r="H562">
        <v>205300</v>
      </c>
      <c r="I562" t="s">
        <v>29</v>
      </c>
      <c r="J562">
        <v>0</v>
      </c>
      <c r="K562" t="s">
        <v>29</v>
      </c>
      <c r="L562" t="s">
        <v>25</v>
      </c>
    </row>
    <row r="563" spans="1:12" ht="14.25" x14ac:dyDescent="0.2">
      <c r="A563">
        <v>561</v>
      </c>
      <c r="B563">
        <v>2022</v>
      </c>
      <c r="C563" t="s">
        <v>17</v>
      </c>
      <c r="D563" t="s">
        <v>12</v>
      </c>
      <c r="E563" t="s">
        <v>131</v>
      </c>
      <c r="F563">
        <v>184700</v>
      </c>
      <c r="G563" t="s">
        <v>19</v>
      </c>
      <c r="H563">
        <v>184700</v>
      </c>
      <c r="I563" t="s">
        <v>29</v>
      </c>
      <c r="J563">
        <v>0</v>
      </c>
      <c r="K563" t="s">
        <v>29</v>
      </c>
      <c r="L563" t="s">
        <v>25</v>
      </c>
    </row>
    <row r="564" spans="1:12" ht="14.25" x14ac:dyDescent="0.2">
      <c r="A564">
        <v>562</v>
      </c>
      <c r="B564">
        <v>2022</v>
      </c>
      <c r="C564" t="s">
        <v>17</v>
      </c>
      <c r="D564" t="s">
        <v>12</v>
      </c>
      <c r="E564" t="s">
        <v>43</v>
      </c>
      <c r="F564">
        <v>175100</v>
      </c>
      <c r="G564" t="s">
        <v>19</v>
      </c>
      <c r="H564">
        <v>175100</v>
      </c>
      <c r="I564" t="s">
        <v>29</v>
      </c>
      <c r="J564">
        <v>100</v>
      </c>
      <c r="K564" t="s">
        <v>29</v>
      </c>
      <c r="L564" t="s">
        <v>25</v>
      </c>
    </row>
    <row r="565" spans="1:12" ht="14.25" x14ac:dyDescent="0.2">
      <c r="A565">
        <v>563</v>
      </c>
      <c r="B565">
        <v>2022</v>
      </c>
      <c r="C565" t="s">
        <v>17</v>
      </c>
      <c r="D565" t="s">
        <v>12</v>
      </c>
      <c r="E565" t="s">
        <v>43</v>
      </c>
      <c r="F565">
        <v>140250</v>
      </c>
      <c r="G565" t="s">
        <v>19</v>
      </c>
      <c r="H565">
        <v>140250</v>
      </c>
      <c r="I565" t="s">
        <v>29</v>
      </c>
      <c r="J565">
        <v>100</v>
      </c>
      <c r="K565" t="s">
        <v>29</v>
      </c>
      <c r="L565" t="s">
        <v>25</v>
      </c>
    </row>
    <row r="566" spans="1:12" ht="14.25" x14ac:dyDescent="0.2">
      <c r="A566">
        <v>564</v>
      </c>
      <c r="B566">
        <v>2022</v>
      </c>
      <c r="C566" t="s">
        <v>17</v>
      </c>
      <c r="D566" t="s">
        <v>12</v>
      </c>
      <c r="E566" t="s">
        <v>31</v>
      </c>
      <c r="F566">
        <v>116150</v>
      </c>
      <c r="G566" t="s">
        <v>19</v>
      </c>
      <c r="H566">
        <v>116150</v>
      </c>
      <c r="I566" t="s">
        <v>29</v>
      </c>
      <c r="J566">
        <v>100</v>
      </c>
      <c r="K566" t="s">
        <v>29</v>
      </c>
      <c r="L566" t="s">
        <v>25</v>
      </c>
    </row>
    <row r="567" spans="1:12" ht="14.25" x14ac:dyDescent="0.2">
      <c r="A567">
        <v>565</v>
      </c>
      <c r="B567">
        <v>2022</v>
      </c>
      <c r="C567" t="s">
        <v>17</v>
      </c>
      <c r="D567" t="s">
        <v>12</v>
      </c>
      <c r="E567" t="s">
        <v>43</v>
      </c>
      <c r="F567">
        <v>54000</v>
      </c>
      <c r="G567" t="s">
        <v>19</v>
      </c>
      <c r="H567">
        <v>54000</v>
      </c>
      <c r="I567" t="s">
        <v>29</v>
      </c>
      <c r="J567">
        <v>0</v>
      </c>
      <c r="K567" t="s">
        <v>29</v>
      </c>
      <c r="L567" t="s">
        <v>25</v>
      </c>
    </row>
    <row r="568" spans="1:12" ht="14.25" x14ac:dyDescent="0.2">
      <c r="A568">
        <v>566</v>
      </c>
      <c r="B568">
        <v>2022</v>
      </c>
      <c r="C568" t="s">
        <v>17</v>
      </c>
      <c r="D568" t="s">
        <v>12</v>
      </c>
      <c r="E568" t="s">
        <v>31</v>
      </c>
      <c r="F568">
        <v>170000</v>
      </c>
      <c r="G568" t="s">
        <v>19</v>
      </c>
      <c r="H568">
        <v>170000</v>
      </c>
      <c r="I568" t="s">
        <v>29</v>
      </c>
      <c r="J568">
        <v>100</v>
      </c>
      <c r="K568" t="s">
        <v>29</v>
      </c>
      <c r="L568" t="s">
        <v>25</v>
      </c>
    </row>
    <row r="569" spans="1:12" ht="14.25" x14ac:dyDescent="0.2">
      <c r="A569">
        <v>567</v>
      </c>
      <c r="B569">
        <v>2022</v>
      </c>
      <c r="C569" t="s">
        <v>11</v>
      </c>
      <c r="D569" t="s">
        <v>12</v>
      </c>
      <c r="E569" t="s">
        <v>31</v>
      </c>
      <c r="F569">
        <v>50000</v>
      </c>
      <c r="G569" t="s">
        <v>23</v>
      </c>
      <c r="H569">
        <v>65438</v>
      </c>
      <c r="I569" t="s">
        <v>24</v>
      </c>
      <c r="J569">
        <v>0</v>
      </c>
      <c r="K569" t="s">
        <v>24</v>
      </c>
      <c r="L569" t="s">
        <v>25</v>
      </c>
    </row>
    <row r="570" spans="1:12" ht="14.25" x14ac:dyDescent="0.2">
      <c r="A570">
        <v>568</v>
      </c>
      <c r="B570">
        <v>2022</v>
      </c>
      <c r="C570" t="s">
        <v>17</v>
      </c>
      <c r="D570" t="s">
        <v>12</v>
      </c>
      <c r="E570" t="s">
        <v>31</v>
      </c>
      <c r="F570">
        <v>80000</v>
      </c>
      <c r="G570" t="s">
        <v>19</v>
      </c>
      <c r="H570">
        <v>80000</v>
      </c>
      <c r="I570" t="s">
        <v>29</v>
      </c>
      <c r="J570">
        <v>100</v>
      </c>
      <c r="K570" t="s">
        <v>29</v>
      </c>
      <c r="L570" t="s">
        <v>25</v>
      </c>
    </row>
    <row r="571" spans="1:12" ht="14.25" x14ac:dyDescent="0.2">
      <c r="A571">
        <v>569</v>
      </c>
      <c r="B571">
        <v>2022</v>
      </c>
      <c r="C571" t="s">
        <v>17</v>
      </c>
      <c r="D571" t="s">
        <v>12</v>
      </c>
      <c r="E571" t="s">
        <v>13</v>
      </c>
      <c r="F571">
        <v>140000</v>
      </c>
      <c r="G571" t="s">
        <v>19</v>
      </c>
      <c r="H571">
        <v>140000</v>
      </c>
      <c r="I571" t="s">
        <v>29</v>
      </c>
      <c r="J571">
        <v>100</v>
      </c>
      <c r="K571" t="s">
        <v>29</v>
      </c>
      <c r="L571" t="s">
        <v>25</v>
      </c>
    </row>
    <row r="572" spans="1:12" ht="14.25" x14ac:dyDescent="0.2">
      <c r="A572">
        <v>570</v>
      </c>
      <c r="B572">
        <v>2022</v>
      </c>
      <c r="C572" t="s">
        <v>17</v>
      </c>
      <c r="D572" t="s">
        <v>12</v>
      </c>
      <c r="E572" t="s">
        <v>13</v>
      </c>
      <c r="F572">
        <v>210000</v>
      </c>
      <c r="G572" t="s">
        <v>19</v>
      </c>
      <c r="H572">
        <v>210000</v>
      </c>
      <c r="I572" t="s">
        <v>29</v>
      </c>
      <c r="J572">
        <v>100</v>
      </c>
      <c r="K572" t="s">
        <v>29</v>
      </c>
      <c r="L572" t="s">
        <v>25</v>
      </c>
    </row>
    <row r="573" spans="1:12" ht="14.25" x14ac:dyDescent="0.2">
      <c r="A573">
        <v>571</v>
      </c>
      <c r="B573">
        <v>2022</v>
      </c>
      <c r="C573" t="s">
        <v>17</v>
      </c>
      <c r="D573" t="s">
        <v>12</v>
      </c>
      <c r="E573" t="s">
        <v>13</v>
      </c>
      <c r="F573">
        <v>140000</v>
      </c>
      <c r="G573" t="s">
        <v>19</v>
      </c>
      <c r="H573">
        <v>140000</v>
      </c>
      <c r="I573" t="s">
        <v>29</v>
      </c>
      <c r="J573">
        <v>100</v>
      </c>
      <c r="K573" t="s">
        <v>29</v>
      </c>
      <c r="L573" t="s">
        <v>25</v>
      </c>
    </row>
    <row r="574" spans="1:12" ht="14.25" x14ac:dyDescent="0.2">
      <c r="A574">
        <v>572</v>
      </c>
      <c r="B574">
        <v>2022</v>
      </c>
      <c r="C574" t="s">
        <v>17</v>
      </c>
      <c r="D574" t="s">
        <v>12</v>
      </c>
      <c r="E574" t="s">
        <v>31</v>
      </c>
      <c r="F574">
        <v>100000</v>
      </c>
      <c r="G574" t="s">
        <v>19</v>
      </c>
      <c r="H574">
        <v>100000</v>
      </c>
      <c r="I574" t="s">
        <v>29</v>
      </c>
      <c r="J574">
        <v>100</v>
      </c>
      <c r="K574" t="s">
        <v>29</v>
      </c>
      <c r="L574" t="s">
        <v>25</v>
      </c>
    </row>
    <row r="575" spans="1:12" ht="14.25" x14ac:dyDescent="0.2">
      <c r="A575">
        <v>573</v>
      </c>
      <c r="B575">
        <v>2022</v>
      </c>
      <c r="C575" t="s">
        <v>17</v>
      </c>
      <c r="D575" t="s">
        <v>12</v>
      </c>
      <c r="E575" t="s">
        <v>31</v>
      </c>
      <c r="F575">
        <v>69000</v>
      </c>
      <c r="G575" t="s">
        <v>19</v>
      </c>
      <c r="H575">
        <v>69000</v>
      </c>
      <c r="I575" t="s">
        <v>29</v>
      </c>
      <c r="J575">
        <v>100</v>
      </c>
      <c r="K575" t="s">
        <v>29</v>
      </c>
      <c r="L575" t="s">
        <v>25</v>
      </c>
    </row>
    <row r="576" spans="1:12" ht="14.25" x14ac:dyDescent="0.2">
      <c r="A576">
        <v>574</v>
      </c>
      <c r="B576">
        <v>2022</v>
      </c>
      <c r="C576" t="s">
        <v>17</v>
      </c>
      <c r="D576" t="s">
        <v>12</v>
      </c>
      <c r="E576" t="s">
        <v>13</v>
      </c>
      <c r="F576">
        <v>210000</v>
      </c>
      <c r="G576" t="s">
        <v>19</v>
      </c>
      <c r="H576">
        <v>210000</v>
      </c>
      <c r="I576" t="s">
        <v>29</v>
      </c>
      <c r="J576">
        <v>100</v>
      </c>
      <c r="K576" t="s">
        <v>29</v>
      </c>
      <c r="L576" t="s">
        <v>25</v>
      </c>
    </row>
    <row r="577" spans="1:12" ht="14.25" x14ac:dyDescent="0.2">
      <c r="A577">
        <v>575</v>
      </c>
      <c r="B577">
        <v>2022</v>
      </c>
      <c r="C577" t="s">
        <v>17</v>
      </c>
      <c r="D577" t="s">
        <v>12</v>
      </c>
      <c r="E577" t="s">
        <v>13</v>
      </c>
      <c r="F577">
        <v>140000</v>
      </c>
      <c r="G577" t="s">
        <v>19</v>
      </c>
      <c r="H577">
        <v>140000</v>
      </c>
      <c r="I577" t="s">
        <v>29</v>
      </c>
      <c r="J577">
        <v>100</v>
      </c>
      <c r="K577" t="s">
        <v>29</v>
      </c>
      <c r="L577" t="s">
        <v>25</v>
      </c>
    </row>
    <row r="578" spans="1:12" ht="14.25" x14ac:dyDescent="0.2">
      <c r="A578">
        <v>576</v>
      </c>
      <c r="B578">
        <v>2022</v>
      </c>
      <c r="C578" t="s">
        <v>17</v>
      </c>
      <c r="D578" t="s">
        <v>12</v>
      </c>
      <c r="E578" t="s">
        <v>13</v>
      </c>
      <c r="F578">
        <v>210000</v>
      </c>
      <c r="G578" t="s">
        <v>19</v>
      </c>
      <c r="H578">
        <v>210000</v>
      </c>
      <c r="I578" t="s">
        <v>29</v>
      </c>
      <c r="J578">
        <v>100</v>
      </c>
      <c r="K578" t="s">
        <v>29</v>
      </c>
      <c r="L578" t="s">
        <v>25</v>
      </c>
    </row>
    <row r="579" spans="1:12" ht="14.25" x14ac:dyDescent="0.2">
      <c r="A579">
        <v>577</v>
      </c>
      <c r="B579">
        <v>2022</v>
      </c>
      <c r="C579" t="s">
        <v>17</v>
      </c>
      <c r="D579" t="s">
        <v>12</v>
      </c>
      <c r="E579" t="s">
        <v>31</v>
      </c>
      <c r="F579">
        <v>150075</v>
      </c>
      <c r="G579" t="s">
        <v>19</v>
      </c>
      <c r="H579">
        <v>150075</v>
      </c>
      <c r="I579" t="s">
        <v>29</v>
      </c>
      <c r="J579">
        <v>100</v>
      </c>
      <c r="K579" t="s">
        <v>29</v>
      </c>
      <c r="L579" t="s">
        <v>25</v>
      </c>
    </row>
    <row r="580" spans="1:12" ht="14.25" x14ac:dyDescent="0.2">
      <c r="A580">
        <v>578</v>
      </c>
      <c r="B580">
        <v>2022</v>
      </c>
      <c r="C580" t="s">
        <v>17</v>
      </c>
      <c r="D580" t="s">
        <v>12</v>
      </c>
      <c r="E580" t="s">
        <v>43</v>
      </c>
      <c r="F580">
        <v>100000</v>
      </c>
      <c r="G580" t="s">
        <v>19</v>
      </c>
      <c r="H580">
        <v>100000</v>
      </c>
      <c r="I580" t="s">
        <v>29</v>
      </c>
      <c r="J580">
        <v>100</v>
      </c>
      <c r="K580" t="s">
        <v>29</v>
      </c>
      <c r="L580" t="s">
        <v>25</v>
      </c>
    </row>
    <row r="581" spans="1:12" ht="14.25" x14ac:dyDescent="0.2">
      <c r="A581">
        <v>579</v>
      </c>
      <c r="B581">
        <v>2022</v>
      </c>
      <c r="C581" t="s">
        <v>17</v>
      </c>
      <c r="D581" t="s">
        <v>12</v>
      </c>
      <c r="E581" t="s">
        <v>43</v>
      </c>
      <c r="F581">
        <v>25000</v>
      </c>
      <c r="G581" t="s">
        <v>19</v>
      </c>
      <c r="H581">
        <v>25000</v>
      </c>
      <c r="I581" t="s">
        <v>29</v>
      </c>
      <c r="J581">
        <v>100</v>
      </c>
      <c r="K581" t="s">
        <v>29</v>
      </c>
      <c r="L581" t="s">
        <v>25</v>
      </c>
    </row>
    <row r="582" spans="1:12" ht="14.25" x14ac:dyDescent="0.2">
      <c r="A582">
        <v>580</v>
      </c>
      <c r="B582">
        <v>2022</v>
      </c>
      <c r="C582" t="s">
        <v>17</v>
      </c>
      <c r="D582" t="s">
        <v>12</v>
      </c>
      <c r="E582" t="s">
        <v>31</v>
      </c>
      <c r="F582">
        <v>126500</v>
      </c>
      <c r="G582" t="s">
        <v>19</v>
      </c>
      <c r="H582">
        <v>126500</v>
      </c>
      <c r="I582" t="s">
        <v>29</v>
      </c>
      <c r="J582">
        <v>100</v>
      </c>
      <c r="K582" t="s">
        <v>29</v>
      </c>
      <c r="L582" t="s">
        <v>25</v>
      </c>
    </row>
    <row r="583" spans="1:12" ht="14.25" x14ac:dyDescent="0.2">
      <c r="A583">
        <v>581</v>
      </c>
      <c r="B583">
        <v>2022</v>
      </c>
      <c r="C583" t="s">
        <v>17</v>
      </c>
      <c r="D583" t="s">
        <v>12</v>
      </c>
      <c r="E583" t="s">
        <v>31</v>
      </c>
      <c r="F583">
        <v>106260</v>
      </c>
      <c r="G583" t="s">
        <v>19</v>
      </c>
      <c r="H583">
        <v>106260</v>
      </c>
      <c r="I583" t="s">
        <v>29</v>
      </c>
      <c r="J583">
        <v>100</v>
      </c>
      <c r="K583" t="s">
        <v>29</v>
      </c>
      <c r="L583" t="s">
        <v>25</v>
      </c>
    </row>
    <row r="584" spans="1:12" ht="14.25" x14ac:dyDescent="0.2">
      <c r="A584">
        <v>582</v>
      </c>
      <c r="B584">
        <v>2022</v>
      </c>
      <c r="C584" t="s">
        <v>17</v>
      </c>
      <c r="D584" t="s">
        <v>12</v>
      </c>
      <c r="E584" t="s">
        <v>43</v>
      </c>
      <c r="F584">
        <v>220110</v>
      </c>
      <c r="G584" t="s">
        <v>19</v>
      </c>
      <c r="H584">
        <v>220110</v>
      </c>
      <c r="I584" t="s">
        <v>29</v>
      </c>
      <c r="J584">
        <v>100</v>
      </c>
      <c r="K584" t="s">
        <v>29</v>
      </c>
      <c r="L584" t="s">
        <v>25</v>
      </c>
    </row>
    <row r="585" spans="1:12" ht="14.25" x14ac:dyDescent="0.2">
      <c r="A585">
        <v>583</v>
      </c>
      <c r="B585">
        <v>2022</v>
      </c>
      <c r="C585" t="s">
        <v>17</v>
      </c>
      <c r="D585" t="s">
        <v>12</v>
      </c>
      <c r="E585" t="s">
        <v>43</v>
      </c>
      <c r="F585">
        <v>160080</v>
      </c>
      <c r="G585" t="s">
        <v>19</v>
      </c>
      <c r="H585">
        <v>160080</v>
      </c>
      <c r="I585" t="s">
        <v>29</v>
      </c>
      <c r="J585">
        <v>100</v>
      </c>
      <c r="K585" t="s">
        <v>29</v>
      </c>
      <c r="L585" t="s">
        <v>25</v>
      </c>
    </row>
    <row r="586" spans="1:12" ht="14.25" x14ac:dyDescent="0.2">
      <c r="A586">
        <v>584</v>
      </c>
      <c r="B586">
        <v>2022</v>
      </c>
      <c r="C586" t="s">
        <v>17</v>
      </c>
      <c r="D586" t="s">
        <v>12</v>
      </c>
      <c r="E586" t="s">
        <v>31</v>
      </c>
      <c r="F586">
        <v>105000</v>
      </c>
      <c r="G586" t="s">
        <v>19</v>
      </c>
      <c r="H586">
        <v>105000</v>
      </c>
      <c r="I586" t="s">
        <v>29</v>
      </c>
      <c r="J586">
        <v>100</v>
      </c>
      <c r="K586" t="s">
        <v>29</v>
      </c>
      <c r="L586" t="s">
        <v>25</v>
      </c>
    </row>
    <row r="587" spans="1:12" ht="14.25" x14ac:dyDescent="0.2">
      <c r="A587">
        <v>585</v>
      </c>
      <c r="B587">
        <v>2022</v>
      </c>
      <c r="C587" t="s">
        <v>17</v>
      </c>
      <c r="D587" t="s">
        <v>12</v>
      </c>
      <c r="E587" t="s">
        <v>31</v>
      </c>
      <c r="F587">
        <v>110925</v>
      </c>
      <c r="G587" t="s">
        <v>19</v>
      </c>
      <c r="H587">
        <v>110925</v>
      </c>
      <c r="I587" t="s">
        <v>29</v>
      </c>
      <c r="J587">
        <v>100</v>
      </c>
      <c r="K587" t="s">
        <v>29</v>
      </c>
      <c r="L587" t="s">
        <v>25</v>
      </c>
    </row>
    <row r="588" spans="1:12" ht="14.25" x14ac:dyDescent="0.2">
      <c r="A588">
        <v>586</v>
      </c>
      <c r="B588">
        <v>2022</v>
      </c>
      <c r="C588" t="s">
        <v>11</v>
      </c>
      <c r="D588" t="s">
        <v>12</v>
      </c>
      <c r="E588" t="s">
        <v>31</v>
      </c>
      <c r="F588">
        <v>35000</v>
      </c>
      <c r="G588" t="s">
        <v>23</v>
      </c>
      <c r="H588">
        <v>45807</v>
      </c>
      <c r="I588" t="s">
        <v>24</v>
      </c>
      <c r="J588">
        <v>0</v>
      </c>
      <c r="K588" t="s">
        <v>24</v>
      </c>
      <c r="L588" t="s">
        <v>25</v>
      </c>
    </row>
    <row r="589" spans="1:12" ht="14.25" x14ac:dyDescent="0.2">
      <c r="A589">
        <v>587</v>
      </c>
      <c r="B589">
        <v>2022</v>
      </c>
      <c r="C589" t="s">
        <v>17</v>
      </c>
      <c r="D589" t="s">
        <v>12</v>
      </c>
      <c r="E589" t="s">
        <v>13</v>
      </c>
      <c r="F589">
        <v>140000</v>
      </c>
      <c r="G589" t="s">
        <v>19</v>
      </c>
      <c r="H589">
        <v>140000</v>
      </c>
      <c r="I589" t="s">
        <v>29</v>
      </c>
      <c r="J589">
        <v>100</v>
      </c>
      <c r="K589" t="s">
        <v>29</v>
      </c>
      <c r="L589" t="s">
        <v>25</v>
      </c>
    </row>
    <row r="590" spans="1:12" ht="14.25" x14ac:dyDescent="0.2">
      <c r="A590">
        <v>588</v>
      </c>
      <c r="B590">
        <v>2022</v>
      </c>
      <c r="C590" t="s">
        <v>17</v>
      </c>
      <c r="D590" t="s">
        <v>12</v>
      </c>
      <c r="E590" t="s">
        <v>31</v>
      </c>
      <c r="F590">
        <v>99000</v>
      </c>
      <c r="G590" t="s">
        <v>19</v>
      </c>
      <c r="H590">
        <v>99000</v>
      </c>
      <c r="I590" t="s">
        <v>29</v>
      </c>
      <c r="J590">
        <v>0</v>
      </c>
      <c r="K590" t="s">
        <v>29</v>
      </c>
      <c r="L590" t="s">
        <v>25</v>
      </c>
    </row>
    <row r="591" spans="1:12" ht="14.25" x14ac:dyDescent="0.2">
      <c r="A591">
        <v>589</v>
      </c>
      <c r="B591">
        <v>2022</v>
      </c>
      <c r="C591" t="s">
        <v>17</v>
      </c>
      <c r="D591" t="s">
        <v>12</v>
      </c>
      <c r="E591" t="s">
        <v>31</v>
      </c>
      <c r="F591">
        <v>60000</v>
      </c>
      <c r="G591" t="s">
        <v>19</v>
      </c>
      <c r="H591">
        <v>60000</v>
      </c>
      <c r="I591" t="s">
        <v>29</v>
      </c>
      <c r="J591">
        <v>100</v>
      </c>
      <c r="K591" t="s">
        <v>29</v>
      </c>
      <c r="L591" t="s">
        <v>25</v>
      </c>
    </row>
    <row r="592" spans="1:12" ht="14.25" x14ac:dyDescent="0.2">
      <c r="A592">
        <v>590</v>
      </c>
      <c r="B592">
        <v>2022</v>
      </c>
      <c r="C592" t="s">
        <v>17</v>
      </c>
      <c r="D592" t="s">
        <v>12</v>
      </c>
      <c r="E592" t="s">
        <v>109</v>
      </c>
      <c r="F592">
        <v>192564</v>
      </c>
      <c r="G592" t="s">
        <v>19</v>
      </c>
      <c r="H592">
        <v>192564</v>
      </c>
      <c r="I592" t="s">
        <v>29</v>
      </c>
      <c r="J592">
        <v>100</v>
      </c>
      <c r="K592" t="s">
        <v>29</v>
      </c>
      <c r="L592" t="s">
        <v>25</v>
      </c>
    </row>
    <row r="593" spans="1:12" ht="14.25" x14ac:dyDescent="0.2">
      <c r="A593">
        <v>591</v>
      </c>
      <c r="B593">
        <v>2022</v>
      </c>
      <c r="C593" t="s">
        <v>17</v>
      </c>
      <c r="D593" t="s">
        <v>12</v>
      </c>
      <c r="E593" t="s">
        <v>109</v>
      </c>
      <c r="F593">
        <v>144854</v>
      </c>
      <c r="G593" t="s">
        <v>19</v>
      </c>
      <c r="H593">
        <v>144854</v>
      </c>
      <c r="I593" t="s">
        <v>29</v>
      </c>
      <c r="J593">
        <v>100</v>
      </c>
      <c r="K593" t="s">
        <v>29</v>
      </c>
      <c r="L593" t="s">
        <v>25</v>
      </c>
    </row>
    <row r="594" spans="1:12" ht="14.25" x14ac:dyDescent="0.2">
      <c r="A594">
        <v>592</v>
      </c>
      <c r="B594">
        <v>2022</v>
      </c>
      <c r="C594" t="s">
        <v>17</v>
      </c>
      <c r="D594" t="s">
        <v>12</v>
      </c>
      <c r="E594" t="s">
        <v>13</v>
      </c>
      <c r="F594">
        <v>230000</v>
      </c>
      <c r="G594" t="s">
        <v>19</v>
      </c>
      <c r="H594">
        <v>230000</v>
      </c>
      <c r="I594" t="s">
        <v>29</v>
      </c>
      <c r="J594">
        <v>100</v>
      </c>
      <c r="K594" t="s">
        <v>29</v>
      </c>
      <c r="L594" t="s">
        <v>25</v>
      </c>
    </row>
    <row r="595" spans="1:12" ht="14.25" x14ac:dyDescent="0.2">
      <c r="A595">
        <v>593</v>
      </c>
      <c r="B595">
        <v>2022</v>
      </c>
      <c r="C595" t="s">
        <v>17</v>
      </c>
      <c r="D595" t="s">
        <v>12</v>
      </c>
      <c r="E595" t="s">
        <v>13</v>
      </c>
      <c r="F595">
        <v>150000</v>
      </c>
      <c r="G595" t="s">
        <v>19</v>
      </c>
      <c r="H595">
        <v>150000</v>
      </c>
      <c r="I595" t="s">
        <v>29</v>
      </c>
      <c r="J595">
        <v>100</v>
      </c>
      <c r="K595" t="s">
        <v>29</v>
      </c>
      <c r="L595" t="s">
        <v>25</v>
      </c>
    </row>
    <row r="596" spans="1:12" ht="14.25" x14ac:dyDescent="0.2">
      <c r="A596">
        <v>594</v>
      </c>
      <c r="B596">
        <v>2022</v>
      </c>
      <c r="C596" t="s">
        <v>17</v>
      </c>
      <c r="D596" t="s">
        <v>12</v>
      </c>
      <c r="E596" t="s">
        <v>105</v>
      </c>
      <c r="F596">
        <v>150260</v>
      </c>
      <c r="G596" t="s">
        <v>19</v>
      </c>
      <c r="H596">
        <v>150260</v>
      </c>
      <c r="I596" t="s">
        <v>29</v>
      </c>
      <c r="J596">
        <v>100</v>
      </c>
      <c r="K596" t="s">
        <v>29</v>
      </c>
      <c r="L596" t="s">
        <v>25</v>
      </c>
    </row>
    <row r="597" spans="1:12" ht="14.25" x14ac:dyDescent="0.2">
      <c r="A597">
        <v>595</v>
      </c>
      <c r="B597">
        <v>2022</v>
      </c>
      <c r="C597" t="s">
        <v>17</v>
      </c>
      <c r="D597" t="s">
        <v>12</v>
      </c>
      <c r="E597" t="s">
        <v>105</v>
      </c>
      <c r="F597">
        <v>109280</v>
      </c>
      <c r="G597" t="s">
        <v>19</v>
      </c>
      <c r="H597">
        <v>109280</v>
      </c>
      <c r="I597" t="s">
        <v>29</v>
      </c>
      <c r="J597">
        <v>100</v>
      </c>
      <c r="K597" t="s">
        <v>29</v>
      </c>
      <c r="L597" t="s">
        <v>25</v>
      </c>
    </row>
    <row r="598" spans="1:12" ht="14.25" x14ac:dyDescent="0.2">
      <c r="A598">
        <v>596</v>
      </c>
      <c r="B598">
        <v>2022</v>
      </c>
      <c r="C598" t="s">
        <v>17</v>
      </c>
      <c r="D598" t="s">
        <v>12</v>
      </c>
      <c r="E598" t="s">
        <v>13</v>
      </c>
      <c r="F598">
        <v>210000</v>
      </c>
      <c r="G598" t="s">
        <v>19</v>
      </c>
      <c r="H598">
        <v>210000</v>
      </c>
      <c r="I598" t="s">
        <v>29</v>
      </c>
      <c r="J598">
        <v>100</v>
      </c>
      <c r="K598" t="s">
        <v>29</v>
      </c>
      <c r="L598" t="s">
        <v>25</v>
      </c>
    </row>
    <row r="599" spans="1:12" ht="14.25" x14ac:dyDescent="0.2">
      <c r="A599">
        <v>597</v>
      </c>
      <c r="B599">
        <v>2022</v>
      </c>
      <c r="C599" t="s">
        <v>17</v>
      </c>
      <c r="D599" t="s">
        <v>12</v>
      </c>
      <c r="E599" t="s">
        <v>31</v>
      </c>
      <c r="F599">
        <v>170000</v>
      </c>
      <c r="G599" t="s">
        <v>19</v>
      </c>
      <c r="H599">
        <v>170000</v>
      </c>
      <c r="I599" t="s">
        <v>29</v>
      </c>
      <c r="J599">
        <v>100</v>
      </c>
      <c r="K599" t="s">
        <v>29</v>
      </c>
      <c r="L599" t="s">
        <v>25</v>
      </c>
    </row>
    <row r="600" spans="1:12" ht="14.25" x14ac:dyDescent="0.2">
      <c r="A600">
        <v>598</v>
      </c>
      <c r="B600">
        <v>2022</v>
      </c>
      <c r="C600" t="s">
        <v>11</v>
      </c>
      <c r="D600" t="s">
        <v>12</v>
      </c>
      <c r="E600" t="s">
        <v>13</v>
      </c>
      <c r="F600">
        <v>160000</v>
      </c>
      <c r="G600" t="s">
        <v>19</v>
      </c>
      <c r="H600">
        <v>160000</v>
      </c>
      <c r="I600" t="s">
        <v>29</v>
      </c>
      <c r="J600">
        <v>100</v>
      </c>
      <c r="K600" t="s">
        <v>29</v>
      </c>
      <c r="L600" t="s">
        <v>25</v>
      </c>
    </row>
    <row r="601" spans="1:12" ht="14.25" x14ac:dyDescent="0.2">
      <c r="A601">
        <v>599</v>
      </c>
      <c r="B601">
        <v>2022</v>
      </c>
      <c r="C601" t="s">
        <v>11</v>
      </c>
      <c r="D601" t="s">
        <v>12</v>
      </c>
      <c r="E601" t="s">
        <v>13</v>
      </c>
      <c r="F601">
        <v>130000</v>
      </c>
      <c r="G601" t="s">
        <v>19</v>
      </c>
      <c r="H601">
        <v>130000</v>
      </c>
      <c r="I601" t="s">
        <v>29</v>
      </c>
      <c r="J601">
        <v>100</v>
      </c>
      <c r="K601" t="s">
        <v>29</v>
      </c>
      <c r="L601" t="s">
        <v>25</v>
      </c>
    </row>
    <row r="602" spans="1:12" ht="14.25" x14ac:dyDescent="0.2">
      <c r="A602">
        <v>600</v>
      </c>
      <c r="B602">
        <v>2022</v>
      </c>
      <c r="C602" t="s">
        <v>30</v>
      </c>
      <c r="D602" t="s">
        <v>12</v>
      </c>
      <c r="E602" t="s">
        <v>31</v>
      </c>
      <c r="F602">
        <v>67000</v>
      </c>
      <c r="G602" t="s">
        <v>19</v>
      </c>
      <c r="H602">
        <v>67000</v>
      </c>
      <c r="I602" t="s">
        <v>62</v>
      </c>
      <c r="J602">
        <v>0</v>
      </c>
      <c r="K602" t="s">
        <v>62</v>
      </c>
      <c r="L602" t="s">
        <v>25</v>
      </c>
    </row>
    <row r="603" spans="1:12" ht="14.25" x14ac:dyDescent="0.2">
      <c r="A603">
        <v>601</v>
      </c>
      <c r="B603">
        <v>2022</v>
      </c>
      <c r="C603" t="s">
        <v>30</v>
      </c>
      <c r="D603" t="s">
        <v>12</v>
      </c>
      <c r="E603" t="s">
        <v>31</v>
      </c>
      <c r="F603">
        <v>52000</v>
      </c>
      <c r="G603" t="s">
        <v>19</v>
      </c>
      <c r="H603">
        <v>52000</v>
      </c>
      <c r="I603" t="s">
        <v>62</v>
      </c>
      <c r="J603">
        <v>0</v>
      </c>
      <c r="K603" t="s">
        <v>62</v>
      </c>
      <c r="L603" t="s">
        <v>25</v>
      </c>
    </row>
    <row r="604" spans="1:12" ht="14.25" x14ac:dyDescent="0.2">
      <c r="A604">
        <v>602</v>
      </c>
      <c r="B604">
        <v>2022</v>
      </c>
      <c r="C604" t="s">
        <v>17</v>
      </c>
      <c r="D604" t="s">
        <v>12</v>
      </c>
      <c r="E604" t="s">
        <v>43</v>
      </c>
      <c r="F604">
        <v>154000</v>
      </c>
      <c r="G604" t="s">
        <v>19</v>
      </c>
      <c r="H604">
        <v>154000</v>
      </c>
      <c r="I604" t="s">
        <v>29</v>
      </c>
      <c r="J604">
        <v>100</v>
      </c>
      <c r="K604" t="s">
        <v>29</v>
      </c>
      <c r="L604" t="s">
        <v>25</v>
      </c>
    </row>
    <row r="605" spans="1:12" ht="14.25" x14ac:dyDescent="0.2">
      <c r="A605">
        <v>603</v>
      </c>
      <c r="B605">
        <v>2022</v>
      </c>
      <c r="C605" t="s">
        <v>17</v>
      </c>
      <c r="D605" t="s">
        <v>12</v>
      </c>
      <c r="E605" t="s">
        <v>43</v>
      </c>
      <c r="F605">
        <v>126000</v>
      </c>
      <c r="G605" t="s">
        <v>19</v>
      </c>
      <c r="H605">
        <v>126000</v>
      </c>
      <c r="I605" t="s">
        <v>29</v>
      </c>
      <c r="J605">
        <v>100</v>
      </c>
      <c r="K605" t="s">
        <v>29</v>
      </c>
      <c r="L605" t="s">
        <v>25</v>
      </c>
    </row>
    <row r="606" spans="1:12" ht="14.25" x14ac:dyDescent="0.2">
      <c r="A606">
        <v>604</v>
      </c>
      <c r="B606">
        <v>2022</v>
      </c>
      <c r="C606" t="s">
        <v>17</v>
      </c>
      <c r="D606" t="s">
        <v>12</v>
      </c>
      <c r="E606" t="s">
        <v>31</v>
      </c>
      <c r="F606">
        <v>129000</v>
      </c>
      <c r="G606" t="s">
        <v>19</v>
      </c>
      <c r="H606">
        <v>129000</v>
      </c>
      <c r="I606" t="s">
        <v>29</v>
      </c>
      <c r="J606">
        <v>0</v>
      </c>
      <c r="K606" t="s">
        <v>29</v>
      </c>
      <c r="L606" t="s">
        <v>25</v>
      </c>
    </row>
    <row r="607" spans="1:12" ht="14.25" x14ac:dyDescent="0.2">
      <c r="A607">
        <v>605</v>
      </c>
      <c r="B607">
        <v>2022</v>
      </c>
      <c r="C607" t="s">
        <v>17</v>
      </c>
      <c r="D607" t="s">
        <v>12</v>
      </c>
      <c r="E607" t="s">
        <v>31</v>
      </c>
      <c r="F607">
        <v>150000</v>
      </c>
      <c r="G607" t="s">
        <v>19</v>
      </c>
      <c r="H607">
        <v>150000</v>
      </c>
      <c r="I607" t="s">
        <v>29</v>
      </c>
      <c r="J607">
        <v>100</v>
      </c>
      <c r="K607" t="s">
        <v>29</v>
      </c>
      <c r="L607" t="s">
        <v>25</v>
      </c>
    </row>
    <row r="608" spans="1:12" ht="14.25" x14ac:dyDescent="0.2">
      <c r="A608">
        <v>606</v>
      </c>
      <c r="B608">
        <v>2022</v>
      </c>
      <c r="C608" t="s">
        <v>11</v>
      </c>
      <c r="D608" t="s">
        <v>12</v>
      </c>
      <c r="E608" t="s">
        <v>70</v>
      </c>
      <c r="F608">
        <v>200000</v>
      </c>
      <c r="G608" t="s">
        <v>19</v>
      </c>
      <c r="H608">
        <v>200000</v>
      </c>
      <c r="I608" t="s">
        <v>40</v>
      </c>
      <c r="J608">
        <v>100</v>
      </c>
      <c r="K608" t="s">
        <v>29</v>
      </c>
      <c r="L608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B5D15-D391-4933-B077-511571513876}">
  <sheetPr codeName="Sheet3"/>
  <dimension ref="A1:F50"/>
  <sheetViews>
    <sheetView topLeftCell="A14" workbookViewId="0">
      <selection activeCell="D32" sqref="D32"/>
    </sheetView>
  </sheetViews>
  <sheetFormatPr defaultRowHeight="14.25" x14ac:dyDescent="0.2"/>
  <cols>
    <col min="1" max="1" width="38.375" customWidth="1"/>
    <col min="2" max="2" width="19.5" customWidth="1"/>
    <col min="3" max="3" width="25.5" customWidth="1"/>
    <col min="4" max="4" width="38.375" customWidth="1"/>
    <col min="6" max="6" width="16.625" customWidth="1"/>
  </cols>
  <sheetData>
    <row r="1" spans="1:6" x14ac:dyDescent="0.2">
      <c r="D1" s="6" t="s">
        <v>82</v>
      </c>
      <c r="E1" s="7">
        <v>1</v>
      </c>
      <c r="F1" t="s">
        <v>878</v>
      </c>
    </row>
    <row r="2" spans="1:6" x14ac:dyDescent="0.2">
      <c r="D2" s="6" t="s">
        <v>70</v>
      </c>
      <c r="E2" s="7">
        <v>7</v>
      </c>
      <c r="F2" t="s">
        <v>13</v>
      </c>
    </row>
    <row r="3" spans="1:6" x14ac:dyDescent="0.2">
      <c r="A3" t="s">
        <v>213</v>
      </c>
      <c r="D3" s="6" t="s">
        <v>131</v>
      </c>
      <c r="E3" s="7">
        <v>4</v>
      </c>
      <c r="F3" t="s">
        <v>43</v>
      </c>
    </row>
    <row r="4" spans="1:6" x14ac:dyDescent="0.2">
      <c r="D4" s="6" t="s">
        <v>84</v>
      </c>
      <c r="E4" s="7">
        <v>5</v>
      </c>
      <c r="F4" t="s">
        <v>13</v>
      </c>
    </row>
    <row r="5" spans="1:6" x14ac:dyDescent="0.2">
      <c r="A5" t="s">
        <v>30</v>
      </c>
      <c r="B5" t="s">
        <v>214</v>
      </c>
      <c r="D5" s="6" t="s">
        <v>100</v>
      </c>
      <c r="E5" s="7">
        <v>4</v>
      </c>
      <c r="F5" t="s">
        <v>13</v>
      </c>
    </row>
    <row r="6" spans="1:6" x14ac:dyDescent="0.2">
      <c r="A6" t="s">
        <v>53</v>
      </c>
      <c r="B6" t="s">
        <v>217</v>
      </c>
      <c r="D6" s="6" t="s">
        <v>51</v>
      </c>
      <c r="E6" s="7">
        <v>6</v>
      </c>
      <c r="F6" t="s">
        <v>31</v>
      </c>
    </row>
    <row r="7" spans="1:6" x14ac:dyDescent="0.2">
      <c r="A7" t="s">
        <v>11</v>
      </c>
      <c r="B7" t="s">
        <v>216</v>
      </c>
      <c r="D7" s="6" t="s">
        <v>125</v>
      </c>
      <c r="E7" s="7">
        <v>1</v>
      </c>
      <c r="F7" t="s">
        <v>43</v>
      </c>
    </row>
    <row r="8" spans="1:6" x14ac:dyDescent="0.2">
      <c r="A8" t="s">
        <v>17</v>
      </c>
      <c r="B8" t="s">
        <v>215</v>
      </c>
      <c r="D8" s="6" t="s">
        <v>22</v>
      </c>
      <c r="E8" s="7">
        <v>8</v>
      </c>
      <c r="F8" t="s">
        <v>43</v>
      </c>
    </row>
    <row r="9" spans="1:6" x14ac:dyDescent="0.2">
      <c r="D9" s="6" t="s">
        <v>35</v>
      </c>
      <c r="E9" s="7">
        <v>5</v>
      </c>
      <c r="F9" t="s">
        <v>31</v>
      </c>
    </row>
    <row r="10" spans="1:6" x14ac:dyDescent="0.2">
      <c r="D10" s="6" t="s">
        <v>88</v>
      </c>
      <c r="E10" s="7">
        <v>2</v>
      </c>
      <c r="F10" t="s">
        <v>43</v>
      </c>
    </row>
    <row r="11" spans="1:6" x14ac:dyDescent="0.2">
      <c r="D11" s="6" t="s">
        <v>74</v>
      </c>
      <c r="E11" s="7">
        <v>6</v>
      </c>
      <c r="F11" t="s">
        <v>43</v>
      </c>
    </row>
    <row r="12" spans="1:6" x14ac:dyDescent="0.2">
      <c r="D12" s="6" t="s">
        <v>93</v>
      </c>
      <c r="E12" s="7">
        <v>3</v>
      </c>
      <c r="F12" t="s">
        <v>878</v>
      </c>
    </row>
    <row r="13" spans="1:6" x14ac:dyDescent="0.2">
      <c r="D13" s="6" t="s">
        <v>31</v>
      </c>
      <c r="E13" s="7">
        <v>97</v>
      </c>
      <c r="F13" t="str" cm="1">
        <f t="array" ref="F13">IF(D13 = "Data Analyst", "Data Analyst", IF(D13 = "Data Engineer", "Data Engineer", IF(D13 = "Machine Learning Engineer", ML Engineer, IF(D13="Data Scientist", "Data Scientist", D13))))</f>
        <v>Data Analyst</v>
      </c>
    </row>
    <row r="14" spans="1:6" x14ac:dyDescent="0.2">
      <c r="D14" s="6" t="s">
        <v>83</v>
      </c>
      <c r="E14" s="7">
        <v>4</v>
      </c>
      <c r="F14" t="s">
        <v>31</v>
      </c>
    </row>
    <row r="15" spans="1:6" x14ac:dyDescent="0.2">
      <c r="D15" s="6" t="s">
        <v>146</v>
      </c>
      <c r="E15" s="7">
        <v>1</v>
      </c>
      <c r="F15" t="s">
        <v>877</v>
      </c>
    </row>
    <row r="16" spans="1:6" x14ac:dyDescent="0.2">
      <c r="D16" s="6" t="s">
        <v>105</v>
      </c>
      <c r="E16" s="7">
        <v>7</v>
      </c>
      <c r="F16" t="s">
        <v>877</v>
      </c>
    </row>
    <row r="17" spans="4:6" x14ac:dyDescent="0.2">
      <c r="D17" s="6" t="s">
        <v>109</v>
      </c>
      <c r="E17" s="7">
        <v>11</v>
      </c>
      <c r="F17" t="s">
        <v>43</v>
      </c>
    </row>
    <row r="18" spans="4:6" x14ac:dyDescent="0.2">
      <c r="D18" s="6" t="s">
        <v>43</v>
      </c>
      <c r="E18" s="7">
        <v>132</v>
      </c>
      <c r="F18" t="str" cm="1">
        <f t="array" ref="F18">IF(D18 = "Data Analyst", "Data Analyst", IF(D18 = "Data Engineer", "Data Engineer", IF(D18 = "Machine Learning Engineer", ML Engineer, IF(D18="Data Scientist", "Data Scientist", D18))))</f>
        <v>Data Engineer</v>
      </c>
    </row>
    <row r="19" spans="4:6" x14ac:dyDescent="0.2">
      <c r="D19" s="6" t="s">
        <v>63</v>
      </c>
      <c r="E19" s="7">
        <v>5</v>
      </c>
      <c r="F19" t="s">
        <v>877</v>
      </c>
    </row>
    <row r="20" spans="4:6" x14ac:dyDescent="0.2">
      <c r="D20" s="6" t="s">
        <v>46</v>
      </c>
      <c r="E20" s="7">
        <v>7</v>
      </c>
      <c r="F20" t="s">
        <v>31</v>
      </c>
    </row>
    <row r="21" spans="4:6" x14ac:dyDescent="0.2">
      <c r="D21" s="6" t="s">
        <v>95</v>
      </c>
      <c r="E21" s="7">
        <v>3</v>
      </c>
      <c r="F21" t="s">
        <v>43</v>
      </c>
    </row>
    <row r="22" spans="4:6" x14ac:dyDescent="0.2">
      <c r="D22" s="6" t="s">
        <v>79</v>
      </c>
      <c r="E22" s="7">
        <v>12</v>
      </c>
      <c r="F22" t="s">
        <v>877</v>
      </c>
    </row>
    <row r="23" spans="4:6" x14ac:dyDescent="0.2">
      <c r="D23" s="6" t="s">
        <v>13</v>
      </c>
      <c r="E23" s="7">
        <v>143</v>
      </c>
      <c r="F23" t="str" cm="1">
        <f t="array" ref="F23">IF(D23 = "Data Analyst", "Data Analyst", IF(D23 = "Data Engineer", "Data Engineer", IF(D23 = "Machine Learning Engineer", ML Engineer, IF(D23="Data Scientist", "Data Scientist", D23))))</f>
        <v>Data Scientist</v>
      </c>
    </row>
    <row r="24" spans="4:6" x14ac:dyDescent="0.2">
      <c r="D24" s="6" t="s">
        <v>108</v>
      </c>
      <c r="E24" s="7">
        <v>1</v>
      </c>
      <c r="F24" t="s">
        <v>31</v>
      </c>
    </row>
    <row r="25" spans="4:6" x14ac:dyDescent="0.2">
      <c r="D25" s="6" t="s">
        <v>94</v>
      </c>
      <c r="E25" s="7">
        <v>2</v>
      </c>
      <c r="F25" t="s">
        <v>877</v>
      </c>
    </row>
    <row r="26" spans="4:6" x14ac:dyDescent="0.2">
      <c r="D26" s="6" t="s">
        <v>54</v>
      </c>
      <c r="E26" s="7">
        <v>7</v>
      </c>
      <c r="F26" t="s">
        <v>877</v>
      </c>
    </row>
    <row r="27" spans="4:6" x14ac:dyDescent="0.2">
      <c r="D27" s="6" t="s">
        <v>132</v>
      </c>
      <c r="E27" s="7">
        <v>2</v>
      </c>
      <c r="F27" t="s">
        <v>43</v>
      </c>
    </row>
    <row r="28" spans="4:6" x14ac:dyDescent="0.2">
      <c r="D28" s="6" t="s">
        <v>112</v>
      </c>
      <c r="E28" s="7">
        <v>1</v>
      </c>
      <c r="F28" t="s">
        <v>31</v>
      </c>
    </row>
    <row r="29" spans="4:6" x14ac:dyDescent="0.2">
      <c r="D29" s="6" t="s">
        <v>92</v>
      </c>
      <c r="E29" s="7">
        <v>2</v>
      </c>
      <c r="F29" t="s">
        <v>31</v>
      </c>
    </row>
    <row r="30" spans="4:6" x14ac:dyDescent="0.2">
      <c r="D30" s="6" t="s">
        <v>81</v>
      </c>
      <c r="E30" s="7">
        <v>5</v>
      </c>
      <c r="F30" t="s">
        <v>877</v>
      </c>
    </row>
    <row r="31" spans="4:6" x14ac:dyDescent="0.2">
      <c r="D31" s="6" t="s">
        <v>106</v>
      </c>
      <c r="E31" s="7">
        <v>4</v>
      </c>
      <c r="F31" t="s">
        <v>877</v>
      </c>
    </row>
    <row r="32" spans="4:6" x14ac:dyDescent="0.2">
      <c r="D32" s="6" t="s">
        <v>133</v>
      </c>
      <c r="E32" s="7">
        <v>1</v>
      </c>
      <c r="F32" t="s">
        <v>877</v>
      </c>
    </row>
    <row r="33" spans="4:6" x14ac:dyDescent="0.2">
      <c r="D33" s="6" t="s">
        <v>41</v>
      </c>
      <c r="E33" s="7">
        <v>3</v>
      </c>
      <c r="F33" t="s">
        <v>877</v>
      </c>
    </row>
    <row r="34" spans="4:6" x14ac:dyDescent="0.2">
      <c r="D34" s="6" t="s">
        <v>36</v>
      </c>
      <c r="E34" s="7">
        <v>6</v>
      </c>
      <c r="F34" t="s">
        <v>877</v>
      </c>
    </row>
    <row r="35" spans="4:6" x14ac:dyDescent="0.2">
      <c r="D35" s="6" t="s">
        <v>32</v>
      </c>
      <c r="E35" s="7">
        <v>3</v>
      </c>
      <c r="F35" t="s">
        <v>877</v>
      </c>
    </row>
    <row r="36" spans="4:6" x14ac:dyDescent="0.2">
      <c r="D36" s="6" t="s">
        <v>136</v>
      </c>
      <c r="E36" s="7">
        <v>1</v>
      </c>
      <c r="F36" t="s">
        <v>877</v>
      </c>
    </row>
    <row r="37" spans="4:6" x14ac:dyDescent="0.2">
      <c r="D37" s="6" t="s">
        <v>98</v>
      </c>
      <c r="E37" s="7">
        <v>3</v>
      </c>
      <c r="F37" t="s">
        <v>880</v>
      </c>
    </row>
    <row r="38" spans="4:6" x14ac:dyDescent="0.2">
      <c r="D38" s="6" t="s">
        <v>28</v>
      </c>
      <c r="E38" s="7">
        <v>41</v>
      </c>
      <c r="F38" t="s">
        <v>880</v>
      </c>
    </row>
    <row r="39" spans="4:6" x14ac:dyDescent="0.2">
      <c r="D39" s="6" t="s">
        <v>68</v>
      </c>
      <c r="E39" s="7">
        <v>3</v>
      </c>
      <c r="F39" t="s">
        <v>880</v>
      </c>
    </row>
    <row r="40" spans="4:6" x14ac:dyDescent="0.2">
      <c r="D40" s="6" t="s">
        <v>60</v>
      </c>
      <c r="E40" s="7">
        <v>1</v>
      </c>
      <c r="F40" t="s">
        <v>877</v>
      </c>
    </row>
    <row r="41" spans="4:6" x14ac:dyDescent="0.2">
      <c r="D41" s="6" t="s">
        <v>18</v>
      </c>
      <c r="E41" s="7">
        <v>8</v>
      </c>
      <c r="F41" t="s">
        <v>879</v>
      </c>
    </row>
    <row r="42" spans="4:6" x14ac:dyDescent="0.2">
      <c r="D42" s="6" t="s">
        <v>87</v>
      </c>
      <c r="E42" s="7">
        <v>1</v>
      </c>
      <c r="F42" t="s">
        <v>31</v>
      </c>
    </row>
    <row r="43" spans="4:6" x14ac:dyDescent="0.2">
      <c r="D43" s="6" t="s">
        <v>69</v>
      </c>
      <c r="E43" s="7">
        <v>6</v>
      </c>
      <c r="F43" t="s">
        <v>880</v>
      </c>
    </row>
    <row r="44" spans="4:6" x14ac:dyDescent="0.2">
      <c r="D44" s="6" t="s">
        <v>135</v>
      </c>
      <c r="E44" s="7">
        <v>1</v>
      </c>
      <c r="F44" t="s">
        <v>880</v>
      </c>
    </row>
    <row r="45" spans="4:6" x14ac:dyDescent="0.2">
      <c r="D45" s="6" t="s">
        <v>124</v>
      </c>
      <c r="E45" s="7">
        <v>2</v>
      </c>
      <c r="F45" t="s">
        <v>31</v>
      </c>
    </row>
    <row r="46" spans="4:6" x14ac:dyDescent="0.2">
      <c r="D46" s="6" t="s">
        <v>97</v>
      </c>
      <c r="E46" s="7">
        <v>3</v>
      </c>
      <c r="F46" t="s">
        <v>43</v>
      </c>
    </row>
    <row r="47" spans="4:6" x14ac:dyDescent="0.2">
      <c r="D47" s="6" t="s">
        <v>76</v>
      </c>
      <c r="E47" s="7">
        <v>7</v>
      </c>
      <c r="F47" t="s">
        <v>879</v>
      </c>
    </row>
    <row r="48" spans="4:6" x14ac:dyDescent="0.2">
      <c r="D48" s="6" t="s">
        <v>26</v>
      </c>
      <c r="E48" s="7">
        <v>2</v>
      </c>
      <c r="F48" t="s">
        <v>31</v>
      </c>
    </row>
    <row r="49" spans="4:6" x14ac:dyDescent="0.2">
      <c r="D49" s="6" t="s">
        <v>55</v>
      </c>
      <c r="E49" s="7">
        <v>16</v>
      </c>
      <c r="F49" t="s">
        <v>879</v>
      </c>
    </row>
    <row r="50" spans="4:6" x14ac:dyDescent="0.2">
      <c r="D50" s="6" t="s">
        <v>129</v>
      </c>
      <c r="E50" s="7">
        <v>1</v>
      </c>
      <c r="F50" t="s">
        <v>879</v>
      </c>
    </row>
  </sheetData>
  <sortState xmlns:xlrd2="http://schemas.microsoft.com/office/spreadsheetml/2017/richdata2" ref="D1:F53">
    <sortCondition ref="D1:D53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67E94-8F0D-44D1-B726-EA03830B3A71}">
  <dimension ref="A1:F255"/>
  <sheetViews>
    <sheetView workbookViewId="0">
      <selection activeCell="B59" sqref="B59"/>
    </sheetView>
  </sheetViews>
  <sheetFormatPr defaultRowHeight="15" x14ac:dyDescent="0.2"/>
  <cols>
    <col min="1" max="1" width="15.5" customWidth="1"/>
    <col min="2" max="2" width="24.875" customWidth="1"/>
    <col min="3" max="3" width="16.25" customWidth="1"/>
    <col min="4" max="4" width="47.5" customWidth="1"/>
    <col min="5" max="5" width="26.5" customWidth="1"/>
    <col min="6" max="6" width="16.375" customWidth="1"/>
  </cols>
  <sheetData>
    <row r="1" spans="1:6" ht="14.25" x14ac:dyDescent="0.2">
      <c r="A1" t="s">
        <v>222</v>
      </c>
      <c r="B1" t="s">
        <v>224</v>
      </c>
      <c r="C1" t="s">
        <v>221</v>
      </c>
      <c r="D1" t="s">
        <v>223</v>
      </c>
      <c r="E1" t="s">
        <v>225</v>
      </c>
      <c r="F1" t="s">
        <v>226</v>
      </c>
    </row>
    <row r="2" spans="1:6" ht="14.25" x14ac:dyDescent="0.2">
      <c r="A2" t="s">
        <v>232</v>
      </c>
      <c r="B2" t="s">
        <v>247</v>
      </c>
      <c r="C2" t="s">
        <v>231</v>
      </c>
      <c r="D2" t="s">
        <v>246</v>
      </c>
      <c r="E2" t="s">
        <v>248</v>
      </c>
      <c r="F2">
        <v>20</v>
      </c>
    </row>
    <row r="3" spans="1:6" ht="14.25" x14ac:dyDescent="0.2">
      <c r="A3" t="s">
        <v>121</v>
      </c>
      <c r="B3" t="s">
        <v>52</v>
      </c>
      <c r="C3" t="s">
        <v>227</v>
      </c>
      <c r="D3" t="s">
        <v>154</v>
      </c>
      <c r="E3" t="s">
        <v>806</v>
      </c>
      <c r="F3">
        <v>784</v>
      </c>
    </row>
    <row r="4" spans="1:6" ht="14.25" x14ac:dyDescent="0.2">
      <c r="A4" t="s">
        <v>121</v>
      </c>
      <c r="B4" t="s">
        <v>229</v>
      </c>
      <c r="C4" t="s">
        <v>227</v>
      </c>
      <c r="D4" t="s">
        <v>228</v>
      </c>
      <c r="E4" t="s">
        <v>230</v>
      </c>
      <c r="F4">
        <v>4</v>
      </c>
    </row>
    <row r="5" spans="1:6" ht="14.25" x14ac:dyDescent="0.2">
      <c r="A5" t="s">
        <v>253</v>
      </c>
      <c r="B5" t="s">
        <v>255</v>
      </c>
      <c r="C5" t="s">
        <v>252</v>
      </c>
      <c r="D5" t="s">
        <v>254</v>
      </c>
      <c r="E5" t="s">
        <v>256</v>
      </c>
      <c r="F5">
        <v>28</v>
      </c>
    </row>
    <row r="6" spans="1:6" ht="14.25" x14ac:dyDescent="0.2">
      <c r="A6" t="s">
        <v>253</v>
      </c>
      <c r="B6" t="s">
        <v>714</v>
      </c>
      <c r="C6" t="s">
        <v>252</v>
      </c>
      <c r="D6" t="s">
        <v>155</v>
      </c>
      <c r="E6" t="s">
        <v>715</v>
      </c>
      <c r="F6">
        <v>660</v>
      </c>
    </row>
    <row r="7" spans="1:6" ht="14.25" x14ac:dyDescent="0.2">
      <c r="A7" t="s">
        <v>232</v>
      </c>
      <c r="B7" t="s">
        <v>234</v>
      </c>
      <c r="C7" t="s">
        <v>231</v>
      </c>
      <c r="D7" t="s">
        <v>233</v>
      </c>
      <c r="E7" t="s">
        <v>235</v>
      </c>
      <c r="F7">
        <v>8</v>
      </c>
    </row>
    <row r="8" spans="1:6" ht="14.25" x14ac:dyDescent="0.2">
      <c r="A8" t="s">
        <v>232</v>
      </c>
      <c r="B8" t="s">
        <v>278</v>
      </c>
      <c r="C8" t="s">
        <v>231</v>
      </c>
      <c r="D8" t="s">
        <v>277</v>
      </c>
      <c r="E8" t="s">
        <v>279</v>
      </c>
      <c r="F8">
        <v>51</v>
      </c>
    </row>
    <row r="9" spans="1:6" ht="14.25" x14ac:dyDescent="0.2">
      <c r="A9" t="s">
        <v>253</v>
      </c>
      <c r="B9" t="s">
        <v>236</v>
      </c>
      <c r="C9" t="s">
        <v>252</v>
      </c>
      <c r="D9" t="s">
        <v>156</v>
      </c>
      <c r="E9" t="s">
        <v>618</v>
      </c>
      <c r="F9">
        <v>530</v>
      </c>
    </row>
    <row r="10" spans="1:6" ht="14.25" x14ac:dyDescent="0.2">
      <c r="A10" t="s">
        <v>229</v>
      </c>
      <c r="B10" t="s">
        <v>250</v>
      </c>
      <c r="C10" t="s">
        <v>240</v>
      </c>
      <c r="D10" t="s">
        <v>249</v>
      </c>
      <c r="E10" t="s">
        <v>251</v>
      </c>
      <c r="F10">
        <v>24</v>
      </c>
    </row>
    <row r="11" spans="1:6" ht="14.25" x14ac:dyDescent="0.2">
      <c r="A11" t="s">
        <v>236</v>
      </c>
      <c r="B11" t="s">
        <v>238</v>
      </c>
      <c r="C11" t="s">
        <v>157</v>
      </c>
      <c r="D11" t="s">
        <v>237</v>
      </c>
      <c r="E11" t="s">
        <v>239</v>
      </c>
      <c r="F11">
        <v>10</v>
      </c>
    </row>
    <row r="12" spans="1:6" ht="14.25" x14ac:dyDescent="0.2">
      <c r="A12" t="s">
        <v>261</v>
      </c>
      <c r="B12" t="s">
        <v>134</v>
      </c>
      <c r="C12" t="s">
        <v>260</v>
      </c>
      <c r="D12" t="s">
        <v>262</v>
      </c>
      <c r="E12" t="s">
        <v>263</v>
      </c>
      <c r="F12">
        <v>32</v>
      </c>
    </row>
    <row r="13" spans="1:6" ht="14.25" x14ac:dyDescent="0.2">
      <c r="A13" t="s">
        <v>244</v>
      </c>
      <c r="B13" t="s">
        <v>121</v>
      </c>
      <c r="C13" t="s">
        <v>243</v>
      </c>
      <c r="D13" t="s">
        <v>158</v>
      </c>
      <c r="E13" t="s">
        <v>245</v>
      </c>
      <c r="F13">
        <v>16</v>
      </c>
    </row>
    <row r="14" spans="1:6" ht="14.25" x14ac:dyDescent="0.2">
      <c r="A14" t="s">
        <v>232</v>
      </c>
      <c r="B14" t="s">
        <v>64</v>
      </c>
      <c r="C14" t="s">
        <v>231</v>
      </c>
      <c r="D14" t="s">
        <v>266</v>
      </c>
      <c r="E14" t="s">
        <v>267</v>
      </c>
      <c r="F14">
        <v>40</v>
      </c>
    </row>
    <row r="15" spans="1:6" ht="14.25" x14ac:dyDescent="0.2">
      <c r="A15" t="s">
        <v>244</v>
      </c>
      <c r="B15" t="s">
        <v>142</v>
      </c>
      <c r="C15" t="s">
        <v>243</v>
      </c>
      <c r="D15" t="s">
        <v>264</v>
      </c>
      <c r="E15" t="s">
        <v>265</v>
      </c>
      <c r="F15">
        <v>36</v>
      </c>
    </row>
    <row r="16" spans="1:6" ht="14.25" x14ac:dyDescent="0.2">
      <c r="A16" t="s">
        <v>253</v>
      </c>
      <c r="B16" t="s">
        <v>622</v>
      </c>
      <c r="C16" t="s">
        <v>252</v>
      </c>
      <c r="D16" t="s">
        <v>159</v>
      </c>
      <c r="E16" t="s">
        <v>623</v>
      </c>
      <c r="F16">
        <v>533</v>
      </c>
    </row>
    <row r="17" spans="1:6" ht="14.25" x14ac:dyDescent="0.2">
      <c r="A17" t="s">
        <v>232</v>
      </c>
      <c r="B17" t="s">
        <v>423</v>
      </c>
      <c r="C17" t="s">
        <v>231</v>
      </c>
      <c r="D17" t="s">
        <v>422</v>
      </c>
      <c r="E17" t="s">
        <v>424</v>
      </c>
      <c r="F17">
        <v>248</v>
      </c>
    </row>
    <row r="18" spans="1:6" ht="14.25" x14ac:dyDescent="0.2">
      <c r="A18" t="s">
        <v>232</v>
      </c>
      <c r="B18" t="s">
        <v>258</v>
      </c>
      <c r="C18" t="s">
        <v>231</v>
      </c>
      <c r="D18" t="s">
        <v>257</v>
      </c>
      <c r="E18" t="s">
        <v>259</v>
      </c>
      <c r="F18">
        <v>31</v>
      </c>
    </row>
    <row r="19" spans="1:6" ht="14.25" x14ac:dyDescent="0.2">
      <c r="A19" t="s">
        <v>232</v>
      </c>
      <c r="B19" t="s">
        <v>292</v>
      </c>
      <c r="C19" t="s">
        <v>231</v>
      </c>
      <c r="D19" t="s">
        <v>291</v>
      </c>
      <c r="E19" t="s">
        <v>293</v>
      </c>
      <c r="F19">
        <v>70</v>
      </c>
    </row>
    <row r="20" spans="1:6" ht="14.25" x14ac:dyDescent="0.2">
      <c r="A20" t="s">
        <v>253</v>
      </c>
      <c r="B20" t="s">
        <v>280</v>
      </c>
      <c r="C20" t="s">
        <v>252</v>
      </c>
      <c r="D20" t="s">
        <v>160</v>
      </c>
      <c r="E20" t="s">
        <v>281</v>
      </c>
      <c r="F20">
        <v>52</v>
      </c>
    </row>
    <row r="21" spans="1:6" ht="14.25" x14ac:dyDescent="0.2">
      <c r="A21" t="s">
        <v>121</v>
      </c>
      <c r="B21" t="s">
        <v>275</v>
      </c>
      <c r="C21" t="s">
        <v>227</v>
      </c>
      <c r="D21" t="s">
        <v>274</v>
      </c>
      <c r="E21" t="s">
        <v>276</v>
      </c>
      <c r="F21">
        <v>50</v>
      </c>
    </row>
    <row r="22" spans="1:6" ht="14.25" x14ac:dyDescent="0.2">
      <c r="A22" t="s">
        <v>232</v>
      </c>
      <c r="B22" t="s">
        <v>102</v>
      </c>
      <c r="C22" t="s">
        <v>231</v>
      </c>
      <c r="D22" t="s">
        <v>282</v>
      </c>
      <c r="E22" t="s">
        <v>283</v>
      </c>
      <c r="F22">
        <v>56</v>
      </c>
    </row>
    <row r="23" spans="1:6" ht="14.25" x14ac:dyDescent="0.2">
      <c r="A23" t="s">
        <v>229</v>
      </c>
      <c r="B23" t="s">
        <v>845</v>
      </c>
      <c r="C23" t="s">
        <v>240</v>
      </c>
      <c r="D23" t="s">
        <v>161</v>
      </c>
      <c r="E23" t="s">
        <v>846</v>
      </c>
      <c r="F23">
        <v>854</v>
      </c>
    </row>
    <row r="24" spans="1:6" ht="14.25" x14ac:dyDescent="0.2">
      <c r="A24" t="s">
        <v>232</v>
      </c>
      <c r="B24" t="s">
        <v>86</v>
      </c>
      <c r="C24" t="s">
        <v>231</v>
      </c>
      <c r="D24" t="s">
        <v>314</v>
      </c>
      <c r="E24" t="s">
        <v>315</v>
      </c>
      <c r="F24">
        <v>100</v>
      </c>
    </row>
    <row r="25" spans="1:6" ht="14.25" x14ac:dyDescent="0.2">
      <c r="A25" t="s">
        <v>121</v>
      </c>
      <c r="B25" t="s">
        <v>272</v>
      </c>
      <c r="C25" t="s">
        <v>227</v>
      </c>
      <c r="D25" t="s">
        <v>271</v>
      </c>
      <c r="E25" t="s">
        <v>273</v>
      </c>
      <c r="F25">
        <v>48</v>
      </c>
    </row>
    <row r="26" spans="1:6" ht="14.25" x14ac:dyDescent="0.2">
      <c r="A26" t="s">
        <v>229</v>
      </c>
      <c r="B26" t="s">
        <v>320</v>
      </c>
      <c r="C26" t="s">
        <v>240</v>
      </c>
      <c r="D26" t="s">
        <v>319</v>
      </c>
      <c r="E26" t="s">
        <v>321</v>
      </c>
      <c r="F26">
        <v>108</v>
      </c>
    </row>
    <row r="27" spans="1:6" ht="14.25" x14ac:dyDescent="0.2">
      <c r="A27" t="s">
        <v>229</v>
      </c>
      <c r="B27" t="s">
        <v>383</v>
      </c>
      <c r="C27" t="s">
        <v>240</v>
      </c>
      <c r="D27" t="s">
        <v>382</v>
      </c>
      <c r="E27" t="s">
        <v>384</v>
      </c>
      <c r="F27">
        <v>204</v>
      </c>
    </row>
    <row r="28" spans="1:6" ht="14.25" x14ac:dyDescent="0.2">
      <c r="A28" t="s">
        <v>253</v>
      </c>
      <c r="B28" t="s">
        <v>706</v>
      </c>
      <c r="C28" t="s">
        <v>252</v>
      </c>
      <c r="D28" t="s">
        <v>705</v>
      </c>
      <c r="E28" t="s">
        <v>707</v>
      </c>
      <c r="F28">
        <v>652</v>
      </c>
    </row>
    <row r="29" spans="1:6" ht="14.25" x14ac:dyDescent="0.2">
      <c r="A29" t="s">
        <v>253</v>
      </c>
      <c r="B29" t="s">
        <v>284</v>
      </c>
      <c r="C29" t="s">
        <v>252</v>
      </c>
      <c r="D29" t="s">
        <v>162</v>
      </c>
      <c r="E29" t="s">
        <v>285</v>
      </c>
      <c r="F29">
        <v>60</v>
      </c>
    </row>
    <row r="30" spans="1:6" ht="14.25" x14ac:dyDescent="0.2">
      <c r="A30" t="s">
        <v>121</v>
      </c>
      <c r="B30" t="s">
        <v>312</v>
      </c>
      <c r="C30" t="s">
        <v>227</v>
      </c>
      <c r="D30" t="s">
        <v>163</v>
      </c>
      <c r="E30" t="s">
        <v>313</v>
      </c>
      <c r="F30">
        <v>96</v>
      </c>
    </row>
    <row r="31" spans="1:6" ht="14.25" x14ac:dyDescent="0.2">
      <c r="A31" t="s">
        <v>261</v>
      </c>
      <c r="B31" t="s">
        <v>143</v>
      </c>
      <c r="C31" t="s">
        <v>260</v>
      </c>
      <c r="D31" t="s">
        <v>289</v>
      </c>
      <c r="E31" t="s">
        <v>290</v>
      </c>
      <c r="F31">
        <v>68</v>
      </c>
    </row>
    <row r="32" spans="1:6" ht="14.25" x14ac:dyDescent="0.2">
      <c r="A32" t="s">
        <v>253</v>
      </c>
      <c r="B32" t="s">
        <v>628</v>
      </c>
      <c r="C32" t="s">
        <v>252</v>
      </c>
      <c r="D32" t="s">
        <v>627</v>
      </c>
      <c r="E32" t="s">
        <v>629</v>
      </c>
      <c r="F32">
        <v>535</v>
      </c>
    </row>
    <row r="33" spans="1:6" ht="14.25" x14ac:dyDescent="0.2">
      <c r="A33" t="s">
        <v>261</v>
      </c>
      <c r="B33" t="s">
        <v>91</v>
      </c>
      <c r="C33" t="s">
        <v>260</v>
      </c>
      <c r="D33" t="s">
        <v>300</v>
      </c>
      <c r="E33" t="s">
        <v>301</v>
      </c>
      <c r="F33">
        <v>76</v>
      </c>
    </row>
    <row r="34" spans="1:6" ht="14.25" x14ac:dyDescent="0.2">
      <c r="A34" t="s">
        <v>253</v>
      </c>
      <c r="B34" t="s">
        <v>269</v>
      </c>
      <c r="C34" t="s">
        <v>252</v>
      </c>
      <c r="D34" t="s">
        <v>268</v>
      </c>
      <c r="E34" t="s">
        <v>270</v>
      </c>
      <c r="F34">
        <v>44</v>
      </c>
    </row>
    <row r="35" spans="1:6" ht="14.25" x14ac:dyDescent="0.2">
      <c r="A35" t="s">
        <v>121</v>
      </c>
      <c r="B35" t="s">
        <v>287</v>
      </c>
      <c r="C35" t="s">
        <v>227</v>
      </c>
      <c r="D35" t="s">
        <v>286</v>
      </c>
      <c r="E35" t="s">
        <v>288</v>
      </c>
      <c r="F35">
        <v>64</v>
      </c>
    </row>
    <row r="36" spans="1:6" ht="14.25" x14ac:dyDescent="0.2">
      <c r="A36" t="s">
        <v>236</v>
      </c>
      <c r="B36" t="s">
        <v>298</v>
      </c>
      <c r="C36" t="s">
        <v>157</v>
      </c>
      <c r="D36" t="s">
        <v>297</v>
      </c>
      <c r="E36" t="s">
        <v>299</v>
      </c>
      <c r="F36">
        <v>74</v>
      </c>
    </row>
    <row r="37" spans="1:6" ht="14.25" x14ac:dyDescent="0.2">
      <c r="A37" t="s">
        <v>229</v>
      </c>
      <c r="B37" t="s">
        <v>295</v>
      </c>
      <c r="C37" t="s">
        <v>240</v>
      </c>
      <c r="D37" t="s">
        <v>294</v>
      </c>
      <c r="E37" t="s">
        <v>296</v>
      </c>
      <c r="F37">
        <v>72</v>
      </c>
    </row>
    <row r="38" spans="1:6" ht="14.25" x14ac:dyDescent="0.2">
      <c r="A38" t="s">
        <v>232</v>
      </c>
      <c r="B38" t="s">
        <v>323</v>
      </c>
      <c r="C38" t="s">
        <v>231</v>
      </c>
      <c r="D38" t="s">
        <v>322</v>
      </c>
      <c r="E38" t="s">
        <v>324</v>
      </c>
      <c r="F38">
        <v>112</v>
      </c>
    </row>
    <row r="39" spans="1:6" ht="14.25" x14ac:dyDescent="0.2">
      <c r="A39" t="s">
        <v>253</v>
      </c>
      <c r="B39" t="s">
        <v>302</v>
      </c>
      <c r="C39" t="s">
        <v>252</v>
      </c>
      <c r="D39" t="s">
        <v>164</v>
      </c>
      <c r="E39" t="s">
        <v>303</v>
      </c>
      <c r="F39">
        <v>84</v>
      </c>
    </row>
    <row r="40" spans="1:6" ht="14.25" x14ac:dyDescent="0.2">
      <c r="A40" t="s">
        <v>253</v>
      </c>
      <c r="B40" t="s">
        <v>62</v>
      </c>
      <c r="C40" t="s">
        <v>252</v>
      </c>
      <c r="D40" t="s">
        <v>165</v>
      </c>
      <c r="E40" t="s">
        <v>331</v>
      </c>
      <c r="F40">
        <v>124</v>
      </c>
    </row>
    <row r="41" spans="1:6" ht="14.25" x14ac:dyDescent="0.2">
      <c r="A41" t="s">
        <v>121</v>
      </c>
      <c r="B41" t="s">
        <v>353</v>
      </c>
      <c r="C41" t="s">
        <v>227</v>
      </c>
      <c r="D41" t="s">
        <v>166</v>
      </c>
      <c r="E41" t="s">
        <v>354</v>
      </c>
      <c r="F41">
        <v>166</v>
      </c>
    </row>
    <row r="42" spans="1:6" ht="14.25" x14ac:dyDescent="0.2">
      <c r="A42" t="s">
        <v>229</v>
      </c>
      <c r="B42" t="s">
        <v>366</v>
      </c>
      <c r="C42" t="s">
        <v>240</v>
      </c>
      <c r="D42" t="s">
        <v>365</v>
      </c>
      <c r="E42" t="s">
        <v>367</v>
      </c>
      <c r="F42">
        <v>180</v>
      </c>
    </row>
    <row r="43" spans="1:6" ht="14.25" x14ac:dyDescent="0.2">
      <c r="A43" t="s">
        <v>229</v>
      </c>
      <c r="B43" t="s">
        <v>337</v>
      </c>
      <c r="C43" t="s">
        <v>240</v>
      </c>
      <c r="D43" t="s">
        <v>167</v>
      </c>
      <c r="E43" t="s">
        <v>338</v>
      </c>
      <c r="F43">
        <v>140</v>
      </c>
    </row>
    <row r="44" spans="1:6" ht="14.25" x14ac:dyDescent="0.2">
      <c r="A44" t="s">
        <v>229</v>
      </c>
      <c r="B44" t="s">
        <v>363</v>
      </c>
      <c r="C44" t="s">
        <v>240</v>
      </c>
      <c r="D44" t="s">
        <v>362</v>
      </c>
      <c r="E44" t="s">
        <v>364</v>
      </c>
      <c r="F44">
        <v>178</v>
      </c>
    </row>
    <row r="45" spans="1:6" ht="14.25" x14ac:dyDescent="0.2">
      <c r="A45" t="s">
        <v>232</v>
      </c>
      <c r="B45" t="s">
        <v>120</v>
      </c>
      <c r="C45" t="s">
        <v>231</v>
      </c>
      <c r="D45" t="s">
        <v>785</v>
      </c>
      <c r="E45" t="s">
        <v>786</v>
      </c>
      <c r="F45">
        <v>756</v>
      </c>
    </row>
    <row r="46" spans="1:6" ht="14.25" x14ac:dyDescent="0.2">
      <c r="A46" t="s">
        <v>229</v>
      </c>
      <c r="B46" t="s">
        <v>509</v>
      </c>
      <c r="C46" t="s">
        <v>240</v>
      </c>
      <c r="D46" t="s">
        <v>508</v>
      </c>
      <c r="E46" t="s">
        <v>510</v>
      </c>
      <c r="F46">
        <v>384</v>
      </c>
    </row>
    <row r="47" spans="1:6" ht="14.25" x14ac:dyDescent="0.2">
      <c r="A47" t="s">
        <v>244</v>
      </c>
      <c r="B47" t="s">
        <v>368</v>
      </c>
      <c r="C47" t="s">
        <v>243</v>
      </c>
      <c r="D47" t="s">
        <v>168</v>
      </c>
      <c r="E47" t="s">
        <v>369</v>
      </c>
      <c r="F47">
        <v>184</v>
      </c>
    </row>
    <row r="48" spans="1:6" ht="14.25" x14ac:dyDescent="0.2">
      <c r="A48" t="s">
        <v>261</v>
      </c>
      <c r="B48" t="s">
        <v>111</v>
      </c>
      <c r="C48" t="s">
        <v>260</v>
      </c>
      <c r="D48" t="s">
        <v>345</v>
      </c>
      <c r="E48" t="s">
        <v>346</v>
      </c>
      <c r="F48">
        <v>152</v>
      </c>
    </row>
    <row r="49" spans="1:6" ht="14.25" x14ac:dyDescent="0.2">
      <c r="A49" t="s">
        <v>229</v>
      </c>
      <c r="B49" t="s">
        <v>329</v>
      </c>
      <c r="C49" t="s">
        <v>240</v>
      </c>
      <c r="D49" t="s">
        <v>328</v>
      </c>
      <c r="E49" t="s">
        <v>330</v>
      </c>
      <c r="F49">
        <v>120</v>
      </c>
    </row>
    <row r="50" spans="1:6" ht="14.25" x14ac:dyDescent="0.2">
      <c r="A50" t="s">
        <v>121</v>
      </c>
      <c r="B50" t="s">
        <v>49</v>
      </c>
      <c r="C50" t="s">
        <v>227</v>
      </c>
      <c r="D50" t="s">
        <v>347</v>
      </c>
      <c r="E50" t="s">
        <v>348</v>
      </c>
      <c r="F50">
        <v>156</v>
      </c>
    </row>
    <row r="51" spans="1:6" ht="14.25" x14ac:dyDescent="0.2">
      <c r="A51" t="s">
        <v>261</v>
      </c>
      <c r="B51" t="s">
        <v>114</v>
      </c>
      <c r="C51" t="s">
        <v>260</v>
      </c>
      <c r="D51" t="s">
        <v>355</v>
      </c>
      <c r="E51" t="s">
        <v>356</v>
      </c>
      <c r="F51">
        <v>170</v>
      </c>
    </row>
    <row r="52" spans="1:6" ht="14.25" x14ac:dyDescent="0.2">
      <c r="A52" t="s">
        <v>253</v>
      </c>
      <c r="B52" t="s">
        <v>371</v>
      </c>
      <c r="C52" t="s">
        <v>252</v>
      </c>
      <c r="D52" t="s">
        <v>370</v>
      </c>
      <c r="E52" t="s">
        <v>372</v>
      </c>
      <c r="F52">
        <v>188</v>
      </c>
    </row>
    <row r="53" spans="1:6" ht="14.25" x14ac:dyDescent="0.2">
      <c r="A53" t="s">
        <v>253</v>
      </c>
      <c r="B53" t="s">
        <v>376</v>
      </c>
      <c r="C53" t="s">
        <v>252</v>
      </c>
      <c r="D53" t="s">
        <v>375</v>
      </c>
      <c r="E53" t="s">
        <v>377</v>
      </c>
      <c r="F53">
        <v>192</v>
      </c>
    </row>
    <row r="54" spans="1:6" ht="14.25" x14ac:dyDescent="0.2">
      <c r="A54" t="s">
        <v>229</v>
      </c>
      <c r="B54" t="s">
        <v>333</v>
      </c>
      <c r="C54" t="s">
        <v>240</v>
      </c>
      <c r="D54" t="s">
        <v>332</v>
      </c>
      <c r="E54" t="s">
        <v>334</v>
      </c>
      <c r="F54">
        <v>132</v>
      </c>
    </row>
    <row r="55" spans="1:6" ht="14.25" x14ac:dyDescent="0.2">
      <c r="A55" t="s">
        <v>253</v>
      </c>
      <c r="B55" t="s">
        <v>620</v>
      </c>
      <c r="C55" t="s">
        <v>252</v>
      </c>
      <c r="D55" t="s">
        <v>619</v>
      </c>
      <c r="E55" t="s">
        <v>621</v>
      </c>
      <c r="F55">
        <v>531</v>
      </c>
    </row>
    <row r="56" spans="1:6" ht="14.25" x14ac:dyDescent="0.2">
      <c r="A56" t="s">
        <v>121</v>
      </c>
      <c r="B56" t="s">
        <v>351</v>
      </c>
      <c r="C56" t="s">
        <v>227</v>
      </c>
      <c r="D56" t="s">
        <v>169</v>
      </c>
      <c r="E56" t="s">
        <v>352</v>
      </c>
      <c r="F56">
        <v>162</v>
      </c>
    </row>
    <row r="57" spans="1:6" ht="14.25" x14ac:dyDescent="0.2">
      <c r="A57" t="s">
        <v>232</v>
      </c>
      <c r="B57" t="s">
        <v>379</v>
      </c>
      <c r="C57" t="s">
        <v>231</v>
      </c>
      <c r="D57" t="s">
        <v>378</v>
      </c>
      <c r="E57" t="s">
        <v>380</v>
      </c>
      <c r="F57">
        <v>196</v>
      </c>
    </row>
    <row r="58" spans="1:6" ht="14.25" x14ac:dyDescent="0.2">
      <c r="A58" t="s">
        <v>232</v>
      </c>
      <c r="B58" t="s">
        <v>130</v>
      </c>
      <c r="C58" t="s">
        <v>231</v>
      </c>
      <c r="D58" t="s">
        <v>170</v>
      </c>
      <c r="E58" t="s">
        <v>381</v>
      </c>
      <c r="F58">
        <v>203</v>
      </c>
    </row>
    <row r="59" spans="1:6" ht="14.25" x14ac:dyDescent="0.2">
      <c r="A59" t="s">
        <v>232</v>
      </c>
      <c r="B59" t="s">
        <v>15</v>
      </c>
      <c r="C59" t="s">
        <v>231</v>
      </c>
      <c r="D59" t="s">
        <v>447</v>
      </c>
      <c r="E59" t="s">
        <v>448</v>
      </c>
      <c r="F59">
        <v>276</v>
      </c>
    </row>
    <row r="60" spans="1:6" ht="14.25" x14ac:dyDescent="0.2">
      <c r="A60" t="s">
        <v>229</v>
      </c>
      <c r="B60" t="s">
        <v>434</v>
      </c>
      <c r="C60" t="s">
        <v>240</v>
      </c>
      <c r="D60" t="s">
        <v>433</v>
      </c>
      <c r="E60" t="s">
        <v>435</v>
      </c>
      <c r="F60">
        <v>262</v>
      </c>
    </row>
    <row r="61" spans="1:6" ht="14.25" x14ac:dyDescent="0.2">
      <c r="A61" t="s">
        <v>232</v>
      </c>
      <c r="B61" t="s">
        <v>72</v>
      </c>
      <c r="C61" t="s">
        <v>231</v>
      </c>
      <c r="D61" t="s">
        <v>385</v>
      </c>
      <c r="E61" t="s">
        <v>386</v>
      </c>
      <c r="F61">
        <v>208</v>
      </c>
    </row>
    <row r="62" spans="1:6" ht="14.25" x14ac:dyDescent="0.2">
      <c r="A62" t="s">
        <v>253</v>
      </c>
      <c r="B62" t="s">
        <v>388</v>
      </c>
      <c r="C62" t="s">
        <v>252</v>
      </c>
      <c r="D62" t="s">
        <v>387</v>
      </c>
      <c r="E62" t="s">
        <v>389</v>
      </c>
      <c r="F62">
        <v>212</v>
      </c>
    </row>
    <row r="63" spans="1:6" ht="14.25" x14ac:dyDescent="0.2">
      <c r="A63" t="s">
        <v>253</v>
      </c>
      <c r="B63" t="s">
        <v>390</v>
      </c>
      <c r="C63" t="s">
        <v>252</v>
      </c>
      <c r="D63" t="s">
        <v>171</v>
      </c>
      <c r="E63" t="s">
        <v>391</v>
      </c>
      <c r="F63">
        <v>214</v>
      </c>
    </row>
    <row r="64" spans="1:6" ht="14.25" x14ac:dyDescent="0.2">
      <c r="A64" t="s">
        <v>229</v>
      </c>
      <c r="B64" t="s">
        <v>137</v>
      </c>
      <c r="C64" t="s">
        <v>240</v>
      </c>
      <c r="D64" t="s">
        <v>241</v>
      </c>
      <c r="E64" t="s">
        <v>242</v>
      </c>
      <c r="F64">
        <v>12</v>
      </c>
    </row>
    <row r="65" spans="1:6" ht="14.25" x14ac:dyDescent="0.2">
      <c r="A65" t="s">
        <v>261</v>
      </c>
      <c r="B65" t="s">
        <v>393</v>
      </c>
      <c r="C65" t="s">
        <v>260</v>
      </c>
      <c r="D65" t="s">
        <v>392</v>
      </c>
      <c r="E65" t="s">
        <v>394</v>
      </c>
      <c r="F65">
        <v>218</v>
      </c>
    </row>
    <row r="66" spans="1:6" ht="14.25" x14ac:dyDescent="0.2">
      <c r="A66" t="s">
        <v>232</v>
      </c>
      <c r="B66" t="s">
        <v>140</v>
      </c>
      <c r="C66" t="s">
        <v>231</v>
      </c>
      <c r="D66" t="s">
        <v>407</v>
      </c>
      <c r="E66" t="s">
        <v>408</v>
      </c>
      <c r="F66">
        <v>233</v>
      </c>
    </row>
    <row r="67" spans="1:6" ht="14.25" x14ac:dyDescent="0.2">
      <c r="A67" t="s">
        <v>229</v>
      </c>
      <c r="B67" t="s">
        <v>826</v>
      </c>
      <c r="C67" t="s">
        <v>240</v>
      </c>
      <c r="D67" t="s">
        <v>825</v>
      </c>
      <c r="E67" t="s">
        <v>827</v>
      </c>
      <c r="F67">
        <v>818</v>
      </c>
    </row>
    <row r="68" spans="1:6" ht="14.25" x14ac:dyDescent="0.2">
      <c r="A68" t="s">
        <v>229</v>
      </c>
      <c r="B68" t="s">
        <v>769</v>
      </c>
      <c r="C68" t="s">
        <v>240</v>
      </c>
      <c r="D68" t="s">
        <v>768</v>
      </c>
      <c r="E68" t="s">
        <v>770</v>
      </c>
      <c r="F68">
        <v>732</v>
      </c>
    </row>
    <row r="69" spans="1:6" ht="14.25" x14ac:dyDescent="0.2">
      <c r="A69" t="s">
        <v>229</v>
      </c>
      <c r="B69" t="s">
        <v>405</v>
      </c>
      <c r="C69" t="s">
        <v>240</v>
      </c>
      <c r="D69" t="s">
        <v>404</v>
      </c>
      <c r="E69" t="s">
        <v>406</v>
      </c>
      <c r="F69">
        <v>232</v>
      </c>
    </row>
    <row r="70" spans="1:6" ht="14.25" x14ac:dyDescent="0.2">
      <c r="A70" t="s">
        <v>232</v>
      </c>
      <c r="B70" t="s">
        <v>67</v>
      </c>
      <c r="C70" t="s">
        <v>231</v>
      </c>
      <c r="D70" t="s">
        <v>763</v>
      </c>
      <c r="E70" t="s">
        <v>764</v>
      </c>
      <c r="F70">
        <v>724</v>
      </c>
    </row>
    <row r="71" spans="1:6" ht="14.25" x14ac:dyDescent="0.2">
      <c r="A71" t="s">
        <v>229</v>
      </c>
      <c r="B71" t="s">
        <v>402</v>
      </c>
      <c r="C71" t="s">
        <v>240</v>
      </c>
      <c r="D71" t="s">
        <v>401</v>
      </c>
      <c r="E71" t="s">
        <v>403</v>
      </c>
      <c r="F71">
        <v>231</v>
      </c>
    </row>
    <row r="72" spans="1:6" ht="14.25" x14ac:dyDescent="0.2">
      <c r="A72" t="s">
        <v>232</v>
      </c>
      <c r="B72" t="s">
        <v>420</v>
      </c>
      <c r="C72" t="s">
        <v>231</v>
      </c>
      <c r="D72" t="s">
        <v>419</v>
      </c>
      <c r="E72" t="s">
        <v>421</v>
      </c>
      <c r="F72">
        <v>246</v>
      </c>
    </row>
    <row r="73" spans="1:6" ht="14.25" x14ac:dyDescent="0.2">
      <c r="A73" t="s">
        <v>244</v>
      </c>
      <c r="B73" t="s">
        <v>417</v>
      </c>
      <c r="C73" t="s">
        <v>243</v>
      </c>
      <c r="D73" t="s">
        <v>416</v>
      </c>
      <c r="E73" t="s">
        <v>418</v>
      </c>
      <c r="F73">
        <v>242</v>
      </c>
    </row>
    <row r="74" spans="1:6" ht="14.25" x14ac:dyDescent="0.2">
      <c r="A74" t="s">
        <v>261</v>
      </c>
      <c r="B74" t="s">
        <v>411</v>
      </c>
      <c r="C74" t="s">
        <v>260</v>
      </c>
      <c r="D74" t="s">
        <v>172</v>
      </c>
      <c r="E74" t="s">
        <v>412</v>
      </c>
      <c r="F74">
        <v>238</v>
      </c>
    </row>
    <row r="75" spans="1:6" ht="14.25" x14ac:dyDescent="0.2">
      <c r="A75" t="s">
        <v>244</v>
      </c>
      <c r="B75" t="s">
        <v>657</v>
      </c>
      <c r="C75" t="s">
        <v>243</v>
      </c>
      <c r="D75" t="s">
        <v>656</v>
      </c>
      <c r="E75" t="s">
        <v>658</v>
      </c>
      <c r="F75">
        <v>583</v>
      </c>
    </row>
    <row r="76" spans="1:6" ht="14.25" x14ac:dyDescent="0.2">
      <c r="A76" t="s">
        <v>232</v>
      </c>
      <c r="B76" t="s">
        <v>409</v>
      </c>
      <c r="C76" t="s">
        <v>231</v>
      </c>
      <c r="D76" t="s">
        <v>173</v>
      </c>
      <c r="E76" t="s">
        <v>410</v>
      </c>
      <c r="F76">
        <v>234</v>
      </c>
    </row>
    <row r="77" spans="1:6" ht="14.25" x14ac:dyDescent="0.2">
      <c r="A77" t="s">
        <v>232</v>
      </c>
      <c r="B77" t="s">
        <v>38</v>
      </c>
      <c r="C77" t="s">
        <v>231</v>
      </c>
      <c r="D77" t="s">
        <v>425</v>
      </c>
      <c r="E77" t="s">
        <v>426</v>
      </c>
      <c r="F77">
        <v>250</v>
      </c>
    </row>
    <row r="78" spans="1:6" ht="14.25" x14ac:dyDescent="0.2">
      <c r="A78" t="s">
        <v>229</v>
      </c>
      <c r="B78" t="s">
        <v>437</v>
      </c>
      <c r="C78" t="s">
        <v>240</v>
      </c>
      <c r="D78" t="s">
        <v>436</v>
      </c>
      <c r="E78" t="s">
        <v>438</v>
      </c>
      <c r="F78">
        <v>266</v>
      </c>
    </row>
    <row r="79" spans="1:6" ht="14.25" x14ac:dyDescent="0.2">
      <c r="A79" t="s">
        <v>232</v>
      </c>
      <c r="B79" t="s">
        <v>24</v>
      </c>
      <c r="C79" t="s">
        <v>231</v>
      </c>
      <c r="D79" t="s">
        <v>828</v>
      </c>
      <c r="E79" t="s">
        <v>829</v>
      </c>
      <c r="F79">
        <v>826</v>
      </c>
    </row>
    <row r="80" spans="1:6" ht="14.25" x14ac:dyDescent="0.2">
      <c r="A80" t="s">
        <v>253</v>
      </c>
      <c r="B80" t="s">
        <v>461</v>
      </c>
      <c r="C80" t="s">
        <v>252</v>
      </c>
      <c r="D80" t="s">
        <v>174</v>
      </c>
      <c r="E80" t="s">
        <v>462</v>
      </c>
      <c r="F80">
        <v>308</v>
      </c>
    </row>
    <row r="81" spans="1:6" ht="14.25" x14ac:dyDescent="0.2">
      <c r="A81" t="s">
        <v>232</v>
      </c>
      <c r="B81" t="s">
        <v>439</v>
      </c>
      <c r="C81" t="s">
        <v>231</v>
      </c>
      <c r="D81" t="s">
        <v>175</v>
      </c>
      <c r="E81" t="s">
        <v>440</v>
      </c>
      <c r="F81">
        <v>268</v>
      </c>
    </row>
    <row r="82" spans="1:6" ht="14.25" x14ac:dyDescent="0.2">
      <c r="A82" t="s">
        <v>261</v>
      </c>
      <c r="B82" t="s">
        <v>427</v>
      </c>
      <c r="C82" t="s">
        <v>260</v>
      </c>
      <c r="D82" t="s">
        <v>176</v>
      </c>
      <c r="E82" t="s">
        <v>428</v>
      </c>
      <c r="F82">
        <v>254</v>
      </c>
    </row>
    <row r="83" spans="1:6" ht="14.25" x14ac:dyDescent="0.2">
      <c r="A83" t="s">
        <v>232</v>
      </c>
      <c r="B83" t="s">
        <v>831</v>
      </c>
      <c r="C83" t="s">
        <v>231</v>
      </c>
      <c r="D83" t="s">
        <v>830</v>
      </c>
      <c r="E83" t="s">
        <v>832</v>
      </c>
      <c r="F83">
        <v>831</v>
      </c>
    </row>
    <row r="84" spans="1:6" ht="14.25" x14ac:dyDescent="0.2">
      <c r="A84" t="s">
        <v>229</v>
      </c>
      <c r="B84" t="s">
        <v>450</v>
      </c>
      <c r="C84" t="s">
        <v>240</v>
      </c>
      <c r="D84" t="s">
        <v>449</v>
      </c>
      <c r="E84" t="s">
        <v>451</v>
      </c>
      <c r="F84">
        <v>288</v>
      </c>
    </row>
    <row r="85" spans="1:6" ht="14.25" x14ac:dyDescent="0.2">
      <c r="A85" t="s">
        <v>232</v>
      </c>
      <c r="B85" t="s">
        <v>452</v>
      </c>
      <c r="C85" t="s">
        <v>231</v>
      </c>
      <c r="D85" t="s">
        <v>177</v>
      </c>
      <c r="E85" t="s">
        <v>453</v>
      </c>
      <c r="F85">
        <v>292</v>
      </c>
    </row>
    <row r="86" spans="1:6" ht="14.25" x14ac:dyDescent="0.2">
      <c r="A86" t="s">
        <v>253</v>
      </c>
      <c r="B86" t="s">
        <v>459</v>
      </c>
      <c r="C86" t="s">
        <v>252</v>
      </c>
      <c r="D86" t="s">
        <v>178</v>
      </c>
      <c r="E86" t="s">
        <v>460</v>
      </c>
      <c r="F86">
        <v>304</v>
      </c>
    </row>
    <row r="87" spans="1:6" ht="14.25" x14ac:dyDescent="0.2">
      <c r="A87" t="s">
        <v>229</v>
      </c>
      <c r="B87" t="s">
        <v>442</v>
      </c>
      <c r="C87" t="s">
        <v>240</v>
      </c>
      <c r="D87" t="s">
        <v>441</v>
      </c>
      <c r="E87" t="s">
        <v>443</v>
      </c>
      <c r="F87">
        <v>270</v>
      </c>
    </row>
    <row r="88" spans="1:6" ht="14.25" x14ac:dyDescent="0.2">
      <c r="A88" t="s">
        <v>229</v>
      </c>
      <c r="B88" t="s">
        <v>471</v>
      </c>
      <c r="C88" t="s">
        <v>240</v>
      </c>
      <c r="D88" t="s">
        <v>470</v>
      </c>
      <c r="E88" t="s">
        <v>472</v>
      </c>
      <c r="F88">
        <v>324</v>
      </c>
    </row>
    <row r="89" spans="1:6" ht="14.25" x14ac:dyDescent="0.2">
      <c r="A89" t="s">
        <v>253</v>
      </c>
      <c r="B89" t="s">
        <v>463</v>
      </c>
      <c r="C89" t="s">
        <v>252</v>
      </c>
      <c r="D89" t="s">
        <v>179</v>
      </c>
      <c r="E89" t="s">
        <v>464</v>
      </c>
      <c r="F89">
        <v>312</v>
      </c>
    </row>
    <row r="90" spans="1:6" ht="14.25" x14ac:dyDescent="0.2">
      <c r="A90" t="s">
        <v>229</v>
      </c>
      <c r="B90" t="s">
        <v>399</v>
      </c>
      <c r="C90" t="s">
        <v>240</v>
      </c>
      <c r="D90" t="s">
        <v>398</v>
      </c>
      <c r="E90" t="s">
        <v>400</v>
      </c>
      <c r="F90">
        <v>226</v>
      </c>
    </row>
    <row r="91" spans="1:6" ht="14.25" x14ac:dyDescent="0.2">
      <c r="A91" t="s">
        <v>232</v>
      </c>
      <c r="B91" t="s">
        <v>50</v>
      </c>
      <c r="C91" t="s">
        <v>231</v>
      </c>
      <c r="D91" t="s">
        <v>457</v>
      </c>
      <c r="E91" t="s">
        <v>458</v>
      </c>
      <c r="F91">
        <v>300</v>
      </c>
    </row>
    <row r="92" spans="1:6" ht="14.25" x14ac:dyDescent="0.2">
      <c r="A92" t="s">
        <v>236</v>
      </c>
      <c r="B92" t="s">
        <v>414</v>
      </c>
      <c r="C92" t="s">
        <v>157</v>
      </c>
      <c r="D92" t="s">
        <v>413</v>
      </c>
      <c r="E92" t="s">
        <v>415</v>
      </c>
      <c r="F92">
        <v>239</v>
      </c>
    </row>
    <row r="93" spans="1:6" ht="14.25" x14ac:dyDescent="0.2">
      <c r="A93" t="s">
        <v>253</v>
      </c>
      <c r="B93" t="s">
        <v>468</v>
      </c>
      <c r="C93" t="s">
        <v>252</v>
      </c>
      <c r="D93" t="s">
        <v>467</v>
      </c>
      <c r="E93" t="s">
        <v>469</v>
      </c>
      <c r="F93">
        <v>320</v>
      </c>
    </row>
    <row r="94" spans="1:6" ht="14.25" x14ac:dyDescent="0.2">
      <c r="A94" t="s">
        <v>244</v>
      </c>
      <c r="B94" t="s">
        <v>465</v>
      </c>
      <c r="C94" t="s">
        <v>243</v>
      </c>
      <c r="D94" t="s">
        <v>180</v>
      </c>
      <c r="E94" t="s">
        <v>466</v>
      </c>
      <c r="F94">
        <v>316</v>
      </c>
    </row>
    <row r="95" spans="1:6" ht="14.25" x14ac:dyDescent="0.2">
      <c r="A95" t="s">
        <v>229</v>
      </c>
      <c r="B95" t="s">
        <v>688</v>
      </c>
      <c r="C95" t="s">
        <v>240</v>
      </c>
      <c r="D95" t="s">
        <v>687</v>
      </c>
      <c r="E95" t="s">
        <v>689</v>
      </c>
      <c r="F95">
        <v>624</v>
      </c>
    </row>
    <row r="96" spans="1:6" ht="14.25" x14ac:dyDescent="0.2">
      <c r="A96" t="s">
        <v>261</v>
      </c>
      <c r="B96" t="s">
        <v>474</v>
      </c>
      <c r="C96" t="s">
        <v>260</v>
      </c>
      <c r="D96" t="s">
        <v>473</v>
      </c>
      <c r="E96" t="s">
        <v>475</v>
      </c>
      <c r="F96">
        <v>328</v>
      </c>
    </row>
    <row r="97" spans="1:6" ht="14.25" x14ac:dyDescent="0.2">
      <c r="A97" t="s">
        <v>121</v>
      </c>
      <c r="B97" t="s">
        <v>119</v>
      </c>
      <c r="C97" t="s">
        <v>227</v>
      </c>
      <c r="D97" t="s">
        <v>487</v>
      </c>
      <c r="E97" t="s">
        <v>488</v>
      </c>
      <c r="F97">
        <v>344</v>
      </c>
    </row>
    <row r="98" spans="1:6" ht="14.25" x14ac:dyDescent="0.2">
      <c r="A98" t="s">
        <v>236</v>
      </c>
      <c r="B98" t="s">
        <v>480</v>
      </c>
      <c r="C98" t="s">
        <v>157</v>
      </c>
      <c r="D98" t="s">
        <v>479</v>
      </c>
      <c r="E98" t="s">
        <v>481</v>
      </c>
      <c r="F98">
        <v>334</v>
      </c>
    </row>
    <row r="99" spans="1:6" ht="14.25" x14ac:dyDescent="0.2">
      <c r="A99" t="s">
        <v>253</v>
      </c>
      <c r="B99" t="s">
        <v>27</v>
      </c>
      <c r="C99" t="s">
        <v>252</v>
      </c>
      <c r="D99" t="s">
        <v>485</v>
      </c>
      <c r="E99" t="s">
        <v>486</v>
      </c>
      <c r="F99">
        <v>340</v>
      </c>
    </row>
    <row r="100" spans="1:6" ht="14.25" x14ac:dyDescent="0.2">
      <c r="A100" t="s">
        <v>232</v>
      </c>
      <c r="B100" t="s">
        <v>78</v>
      </c>
      <c r="C100" t="s">
        <v>231</v>
      </c>
      <c r="D100" t="s">
        <v>373</v>
      </c>
      <c r="E100" t="s">
        <v>374</v>
      </c>
      <c r="F100">
        <v>191</v>
      </c>
    </row>
    <row r="101" spans="1:6" ht="14.25" x14ac:dyDescent="0.2">
      <c r="A101" t="s">
        <v>253</v>
      </c>
      <c r="B101" t="s">
        <v>477</v>
      </c>
      <c r="C101" t="s">
        <v>252</v>
      </c>
      <c r="D101" t="s">
        <v>476</v>
      </c>
      <c r="E101" t="s">
        <v>478</v>
      </c>
      <c r="F101">
        <v>332</v>
      </c>
    </row>
    <row r="102" spans="1:6" ht="14.25" x14ac:dyDescent="0.2">
      <c r="A102" t="s">
        <v>232</v>
      </c>
      <c r="B102" t="s">
        <v>34</v>
      </c>
      <c r="C102" t="s">
        <v>231</v>
      </c>
      <c r="D102" t="s">
        <v>489</v>
      </c>
      <c r="E102" t="s">
        <v>490</v>
      </c>
      <c r="F102">
        <v>348</v>
      </c>
    </row>
    <row r="103" spans="1:6" ht="14.25" x14ac:dyDescent="0.2">
      <c r="A103" t="s">
        <v>121</v>
      </c>
      <c r="B103" t="s">
        <v>497</v>
      </c>
      <c r="C103" t="s">
        <v>227</v>
      </c>
      <c r="D103" t="s">
        <v>496</v>
      </c>
      <c r="E103" t="s">
        <v>498</v>
      </c>
      <c r="F103">
        <v>360</v>
      </c>
    </row>
    <row r="104" spans="1:6" ht="14.25" x14ac:dyDescent="0.2">
      <c r="A104" t="s">
        <v>232</v>
      </c>
      <c r="B104" t="s">
        <v>144</v>
      </c>
      <c r="C104" t="s">
        <v>231</v>
      </c>
      <c r="D104" t="s">
        <v>181</v>
      </c>
      <c r="E104" t="s">
        <v>503</v>
      </c>
      <c r="F104">
        <v>372</v>
      </c>
    </row>
    <row r="105" spans="1:6" ht="14.25" x14ac:dyDescent="0.2">
      <c r="A105" t="s">
        <v>121</v>
      </c>
      <c r="B105" t="s">
        <v>104</v>
      </c>
      <c r="C105" t="s">
        <v>227</v>
      </c>
      <c r="D105" t="s">
        <v>504</v>
      </c>
      <c r="E105" t="s">
        <v>505</v>
      </c>
      <c r="F105">
        <v>376</v>
      </c>
    </row>
    <row r="106" spans="1:6" ht="14.25" x14ac:dyDescent="0.2">
      <c r="A106" t="s">
        <v>232</v>
      </c>
      <c r="B106" t="s">
        <v>835</v>
      </c>
      <c r="C106" t="s">
        <v>231</v>
      </c>
      <c r="D106" t="s">
        <v>182</v>
      </c>
      <c r="E106" t="s">
        <v>836</v>
      </c>
      <c r="F106">
        <v>833</v>
      </c>
    </row>
    <row r="107" spans="1:6" ht="14.25" x14ac:dyDescent="0.2">
      <c r="A107" t="s">
        <v>121</v>
      </c>
      <c r="B107" t="s">
        <v>40</v>
      </c>
      <c r="C107" t="s">
        <v>227</v>
      </c>
      <c r="D107" t="s">
        <v>494</v>
      </c>
      <c r="E107" t="s">
        <v>495</v>
      </c>
      <c r="F107">
        <v>356</v>
      </c>
    </row>
    <row r="108" spans="1:6" ht="14.25" x14ac:dyDescent="0.2">
      <c r="A108" t="s">
        <v>121</v>
      </c>
      <c r="B108" t="s">
        <v>305</v>
      </c>
      <c r="C108" t="s">
        <v>227</v>
      </c>
      <c r="D108" t="s">
        <v>304</v>
      </c>
      <c r="E108" t="s">
        <v>306</v>
      </c>
      <c r="F108">
        <v>86</v>
      </c>
    </row>
    <row r="109" spans="1:6" ht="14.25" x14ac:dyDescent="0.2">
      <c r="A109" t="s">
        <v>121</v>
      </c>
      <c r="B109" t="s">
        <v>99</v>
      </c>
      <c r="C109" t="s">
        <v>227</v>
      </c>
      <c r="D109" t="s">
        <v>501</v>
      </c>
      <c r="E109" t="s">
        <v>502</v>
      </c>
      <c r="F109">
        <v>368</v>
      </c>
    </row>
    <row r="110" spans="1:6" ht="14.25" x14ac:dyDescent="0.2">
      <c r="A110" t="s">
        <v>121</v>
      </c>
      <c r="B110" t="s">
        <v>113</v>
      </c>
      <c r="C110" t="s">
        <v>227</v>
      </c>
      <c r="D110" t="s">
        <v>499</v>
      </c>
      <c r="E110" t="s">
        <v>500</v>
      </c>
      <c r="F110">
        <v>364</v>
      </c>
    </row>
    <row r="111" spans="1:6" ht="14.25" x14ac:dyDescent="0.2">
      <c r="A111" t="s">
        <v>232</v>
      </c>
      <c r="B111" t="s">
        <v>492</v>
      </c>
      <c r="C111" t="s">
        <v>231</v>
      </c>
      <c r="D111" t="s">
        <v>491</v>
      </c>
      <c r="E111" t="s">
        <v>493</v>
      </c>
      <c r="F111">
        <v>352</v>
      </c>
    </row>
    <row r="112" spans="1:6" ht="14.25" x14ac:dyDescent="0.2">
      <c r="A112" t="s">
        <v>232</v>
      </c>
      <c r="B112" t="s">
        <v>77</v>
      </c>
      <c r="C112" t="s">
        <v>231</v>
      </c>
      <c r="D112" t="s">
        <v>506</v>
      </c>
      <c r="E112" t="s">
        <v>507</v>
      </c>
      <c r="F112">
        <v>380</v>
      </c>
    </row>
    <row r="113" spans="1:6" ht="14.25" x14ac:dyDescent="0.2">
      <c r="A113" t="s">
        <v>232</v>
      </c>
      <c r="B113" t="s">
        <v>128</v>
      </c>
      <c r="C113" t="s">
        <v>231</v>
      </c>
      <c r="D113" t="s">
        <v>833</v>
      </c>
      <c r="E113" t="s">
        <v>834</v>
      </c>
      <c r="F113">
        <v>832</v>
      </c>
    </row>
    <row r="114" spans="1:6" ht="14.25" x14ac:dyDescent="0.2">
      <c r="A114" t="s">
        <v>253</v>
      </c>
      <c r="B114" t="s">
        <v>511</v>
      </c>
      <c r="C114" t="s">
        <v>252</v>
      </c>
      <c r="D114" t="s">
        <v>183</v>
      </c>
      <c r="E114" t="s">
        <v>512</v>
      </c>
      <c r="F114">
        <v>388</v>
      </c>
    </row>
    <row r="115" spans="1:6" ht="14.25" x14ac:dyDescent="0.2">
      <c r="A115" t="s">
        <v>121</v>
      </c>
      <c r="B115" t="s">
        <v>518</v>
      </c>
      <c r="C115" t="s">
        <v>227</v>
      </c>
      <c r="D115" t="s">
        <v>517</v>
      </c>
      <c r="E115" t="s">
        <v>519</v>
      </c>
      <c r="F115">
        <v>400</v>
      </c>
    </row>
    <row r="116" spans="1:6" ht="14.25" x14ac:dyDescent="0.2">
      <c r="A116" t="s">
        <v>121</v>
      </c>
      <c r="B116" t="s">
        <v>20</v>
      </c>
      <c r="C116" t="s">
        <v>227</v>
      </c>
      <c r="D116" t="s">
        <v>184</v>
      </c>
      <c r="E116" t="s">
        <v>513</v>
      </c>
      <c r="F116">
        <v>392</v>
      </c>
    </row>
    <row r="117" spans="1:6" ht="14.25" x14ac:dyDescent="0.2">
      <c r="A117" t="s">
        <v>229</v>
      </c>
      <c r="B117" t="s">
        <v>116</v>
      </c>
      <c r="C117" t="s">
        <v>240</v>
      </c>
      <c r="D117" t="s">
        <v>520</v>
      </c>
      <c r="E117" t="s">
        <v>521</v>
      </c>
      <c r="F117">
        <v>404</v>
      </c>
    </row>
    <row r="118" spans="1:6" ht="14.25" x14ac:dyDescent="0.2">
      <c r="A118" t="s">
        <v>121</v>
      </c>
      <c r="B118" t="s">
        <v>532</v>
      </c>
      <c r="C118" t="s">
        <v>227</v>
      </c>
      <c r="D118" t="s">
        <v>531</v>
      </c>
      <c r="E118" t="s">
        <v>533</v>
      </c>
      <c r="F118">
        <v>417</v>
      </c>
    </row>
    <row r="119" spans="1:6" ht="14.25" x14ac:dyDescent="0.2">
      <c r="A119" t="s">
        <v>121</v>
      </c>
      <c r="B119" t="s">
        <v>326</v>
      </c>
      <c r="C119" t="s">
        <v>227</v>
      </c>
      <c r="D119" t="s">
        <v>325</v>
      </c>
      <c r="E119" t="s">
        <v>327</v>
      </c>
      <c r="F119">
        <v>116</v>
      </c>
    </row>
    <row r="120" spans="1:6" ht="14.25" x14ac:dyDescent="0.2">
      <c r="A120" t="s">
        <v>244</v>
      </c>
      <c r="B120" t="s">
        <v>455</v>
      </c>
      <c r="C120" t="s">
        <v>243</v>
      </c>
      <c r="D120" t="s">
        <v>454</v>
      </c>
      <c r="E120" t="s">
        <v>456</v>
      </c>
      <c r="F120">
        <v>296</v>
      </c>
    </row>
    <row r="121" spans="1:6" ht="14.25" x14ac:dyDescent="0.2">
      <c r="A121" t="s">
        <v>229</v>
      </c>
      <c r="B121" t="s">
        <v>358</v>
      </c>
      <c r="C121" t="s">
        <v>240</v>
      </c>
      <c r="D121" t="s">
        <v>357</v>
      </c>
      <c r="E121" t="s">
        <v>359</v>
      </c>
      <c r="F121">
        <v>174</v>
      </c>
    </row>
    <row r="122" spans="1:6" ht="14.25" x14ac:dyDescent="0.2">
      <c r="A122" t="s">
        <v>253</v>
      </c>
      <c r="B122" t="s">
        <v>712</v>
      </c>
      <c r="C122" t="s">
        <v>252</v>
      </c>
      <c r="D122" t="s">
        <v>711</v>
      </c>
      <c r="E122" t="s">
        <v>713</v>
      </c>
      <c r="F122">
        <v>659</v>
      </c>
    </row>
    <row r="123" spans="1:6" ht="14.25" x14ac:dyDescent="0.2">
      <c r="A123" t="s">
        <v>121</v>
      </c>
      <c r="B123" t="s">
        <v>523</v>
      </c>
      <c r="C123" t="s">
        <v>227</v>
      </c>
      <c r="D123" t="s">
        <v>522</v>
      </c>
      <c r="E123" t="s">
        <v>524</v>
      </c>
      <c r="F123">
        <v>408</v>
      </c>
    </row>
    <row r="124" spans="1:6" ht="14.25" x14ac:dyDescent="0.2">
      <c r="A124" t="s">
        <v>121</v>
      </c>
      <c r="B124" t="s">
        <v>526</v>
      </c>
      <c r="C124" t="s">
        <v>227</v>
      </c>
      <c r="D124" t="s">
        <v>525</v>
      </c>
      <c r="E124" t="s">
        <v>527</v>
      </c>
      <c r="F124">
        <v>410</v>
      </c>
    </row>
    <row r="125" spans="1:6" ht="14.25" x14ac:dyDescent="0.2">
      <c r="A125" t="s">
        <v>121</v>
      </c>
      <c r="B125" t="s">
        <v>529</v>
      </c>
      <c r="C125" t="s">
        <v>227</v>
      </c>
      <c r="D125" t="s">
        <v>528</v>
      </c>
      <c r="E125" t="s">
        <v>530</v>
      </c>
      <c r="F125">
        <v>414</v>
      </c>
    </row>
    <row r="126" spans="1:6" ht="14.25" x14ac:dyDescent="0.2">
      <c r="A126" t="s">
        <v>253</v>
      </c>
      <c r="B126" t="s">
        <v>335</v>
      </c>
      <c r="C126" t="s">
        <v>252</v>
      </c>
      <c r="D126" t="s">
        <v>185</v>
      </c>
      <c r="E126" t="s">
        <v>336</v>
      </c>
      <c r="F126">
        <v>136</v>
      </c>
    </row>
    <row r="127" spans="1:6" ht="14.25" x14ac:dyDescent="0.2">
      <c r="A127" t="s">
        <v>232</v>
      </c>
      <c r="B127" t="s">
        <v>515</v>
      </c>
      <c r="C127" t="s">
        <v>231</v>
      </c>
      <c r="D127" t="s">
        <v>514</v>
      </c>
      <c r="E127" t="s">
        <v>516</v>
      </c>
      <c r="F127">
        <v>398</v>
      </c>
    </row>
    <row r="128" spans="1:6" ht="14.25" x14ac:dyDescent="0.2">
      <c r="A128" t="s">
        <v>121</v>
      </c>
      <c r="B128" t="s">
        <v>535</v>
      </c>
      <c r="C128" t="s">
        <v>227</v>
      </c>
      <c r="D128" t="s">
        <v>534</v>
      </c>
      <c r="E128" t="s">
        <v>536</v>
      </c>
      <c r="F128">
        <v>418</v>
      </c>
    </row>
    <row r="129" spans="1:6" ht="14.25" x14ac:dyDescent="0.2">
      <c r="A129" t="s">
        <v>121</v>
      </c>
      <c r="B129" t="s">
        <v>538</v>
      </c>
      <c r="C129" t="s">
        <v>227</v>
      </c>
      <c r="D129" t="s">
        <v>537</v>
      </c>
      <c r="E129" t="s">
        <v>539</v>
      </c>
      <c r="F129">
        <v>422</v>
      </c>
    </row>
    <row r="130" spans="1:6" ht="14.25" x14ac:dyDescent="0.2">
      <c r="A130" t="s">
        <v>253</v>
      </c>
      <c r="B130" t="s">
        <v>716</v>
      </c>
      <c r="C130" t="s">
        <v>252</v>
      </c>
      <c r="D130" t="s">
        <v>186</v>
      </c>
      <c r="E130" t="s">
        <v>717</v>
      </c>
      <c r="F130">
        <v>662</v>
      </c>
    </row>
    <row r="131" spans="1:6" ht="14.25" x14ac:dyDescent="0.2">
      <c r="A131" t="s">
        <v>232</v>
      </c>
      <c r="B131" t="s">
        <v>552</v>
      </c>
      <c r="C131" t="s">
        <v>231</v>
      </c>
      <c r="D131" t="s">
        <v>551</v>
      </c>
      <c r="E131" t="s">
        <v>553</v>
      </c>
      <c r="F131">
        <v>438</v>
      </c>
    </row>
    <row r="132" spans="1:6" ht="14.25" x14ac:dyDescent="0.2">
      <c r="A132" t="s">
        <v>121</v>
      </c>
      <c r="B132" t="s">
        <v>340</v>
      </c>
      <c r="C132" t="s">
        <v>227</v>
      </c>
      <c r="D132" t="s">
        <v>339</v>
      </c>
      <c r="E132" t="s">
        <v>341</v>
      </c>
      <c r="F132">
        <v>144</v>
      </c>
    </row>
    <row r="133" spans="1:6" ht="14.25" x14ac:dyDescent="0.2">
      <c r="A133" t="s">
        <v>229</v>
      </c>
      <c r="B133" t="s">
        <v>547</v>
      </c>
      <c r="C133" t="s">
        <v>240</v>
      </c>
      <c r="D133" t="s">
        <v>546</v>
      </c>
      <c r="E133" t="s">
        <v>548</v>
      </c>
      <c r="F133">
        <v>430</v>
      </c>
    </row>
    <row r="134" spans="1:6" ht="14.25" x14ac:dyDescent="0.2">
      <c r="A134" t="s">
        <v>229</v>
      </c>
      <c r="B134" t="s">
        <v>541</v>
      </c>
      <c r="C134" t="s">
        <v>240</v>
      </c>
      <c r="D134" t="s">
        <v>540</v>
      </c>
      <c r="E134" t="s">
        <v>542</v>
      </c>
      <c r="F134">
        <v>426</v>
      </c>
    </row>
    <row r="135" spans="1:6" ht="14.25" x14ac:dyDescent="0.2">
      <c r="A135" t="s">
        <v>232</v>
      </c>
      <c r="B135" t="s">
        <v>555</v>
      </c>
      <c r="C135" t="s">
        <v>231</v>
      </c>
      <c r="D135" t="s">
        <v>554</v>
      </c>
      <c r="E135" t="s">
        <v>556</v>
      </c>
      <c r="F135">
        <v>440</v>
      </c>
    </row>
    <row r="136" spans="1:6" ht="14.25" x14ac:dyDescent="0.2">
      <c r="A136" t="s">
        <v>232</v>
      </c>
      <c r="B136" t="s">
        <v>80</v>
      </c>
      <c r="C136" t="s">
        <v>231</v>
      </c>
      <c r="D136" t="s">
        <v>557</v>
      </c>
      <c r="E136" t="s">
        <v>558</v>
      </c>
      <c r="F136">
        <v>442</v>
      </c>
    </row>
    <row r="137" spans="1:6" ht="14.25" x14ac:dyDescent="0.2">
      <c r="A137" t="s">
        <v>232</v>
      </c>
      <c r="B137" t="s">
        <v>544</v>
      </c>
      <c r="C137" t="s">
        <v>231</v>
      </c>
      <c r="D137" t="s">
        <v>543</v>
      </c>
      <c r="E137" t="s">
        <v>545</v>
      </c>
      <c r="F137">
        <v>428</v>
      </c>
    </row>
    <row r="138" spans="1:6" ht="14.25" x14ac:dyDescent="0.2">
      <c r="A138" t="s">
        <v>229</v>
      </c>
      <c r="B138" t="s">
        <v>549</v>
      </c>
      <c r="C138" t="s">
        <v>240</v>
      </c>
      <c r="D138" t="s">
        <v>187</v>
      </c>
      <c r="E138" t="s">
        <v>550</v>
      </c>
      <c r="F138">
        <v>434</v>
      </c>
    </row>
    <row r="139" spans="1:6" ht="14.25" x14ac:dyDescent="0.2">
      <c r="A139" t="s">
        <v>229</v>
      </c>
      <c r="B139" t="s">
        <v>600</v>
      </c>
      <c r="C139" t="s">
        <v>240</v>
      </c>
      <c r="D139" t="s">
        <v>599</v>
      </c>
      <c r="E139" t="s">
        <v>601</v>
      </c>
      <c r="F139">
        <v>504</v>
      </c>
    </row>
    <row r="140" spans="1:6" ht="14.25" x14ac:dyDescent="0.2">
      <c r="A140" t="s">
        <v>232</v>
      </c>
      <c r="B140" t="s">
        <v>588</v>
      </c>
      <c r="C140" t="s">
        <v>231</v>
      </c>
      <c r="D140" t="s">
        <v>587</v>
      </c>
      <c r="E140" t="s">
        <v>589</v>
      </c>
      <c r="F140">
        <v>492</v>
      </c>
    </row>
    <row r="141" spans="1:6" ht="14.25" x14ac:dyDescent="0.2">
      <c r="A141" t="s">
        <v>232</v>
      </c>
      <c r="B141" t="s">
        <v>115</v>
      </c>
      <c r="C141" t="s">
        <v>231</v>
      </c>
      <c r="D141" t="s">
        <v>592</v>
      </c>
      <c r="E141" t="s">
        <v>593</v>
      </c>
      <c r="F141">
        <v>498</v>
      </c>
    </row>
    <row r="142" spans="1:6" ht="14.25" x14ac:dyDescent="0.2">
      <c r="A142" t="s">
        <v>232</v>
      </c>
      <c r="B142" t="s">
        <v>595</v>
      </c>
      <c r="C142" t="s">
        <v>231</v>
      </c>
      <c r="D142" t="s">
        <v>594</v>
      </c>
      <c r="E142" t="s">
        <v>596</v>
      </c>
      <c r="F142">
        <v>499</v>
      </c>
    </row>
    <row r="143" spans="1:6" ht="14.25" x14ac:dyDescent="0.2">
      <c r="A143" t="s">
        <v>253</v>
      </c>
      <c r="B143" t="s">
        <v>719</v>
      </c>
      <c r="C143" t="s">
        <v>252</v>
      </c>
      <c r="D143" t="s">
        <v>718</v>
      </c>
      <c r="E143" t="s">
        <v>720</v>
      </c>
      <c r="F143">
        <v>663</v>
      </c>
    </row>
    <row r="144" spans="1:6" ht="14.25" x14ac:dyDescent="0.2">
      <c r="A144" t="s">
        <v>229</v>
      </c>
      <c r="B144" t="s">
        <v>563</v>
      </c>
      <c r="C144" t="s">
        <v>240</v>
      </c>
      <c r="D144" t="s">
        <v>562</v>
      </c>
      <c r="E144" t="s">
        <v>564</v>
      </c>
      <c r="F144">
        <v>450</v>
      </c>
    </row>
    <row r="145" spans="1:6" ht="14.25" x14ac:dyDescent="0.2">
      <c r="A145" t="s">
        <v>244</v>
      </c>
      <c r="B145" t="s">
        <v>660</v>
      </c>
      <c r="C145" t="s">
        <v>243</v>
      </c>
      <c r="D145" t="s">
        <v>659</v>
      </c>
      <c r="E145" t="s">
        <v>661</v>
      </c>
      <c r="F145">
        <v>584</v>
      </c>
    </row>
    <row r="146" spans="1:6" ht="14.25" x14ac:dyDescent="0.2">
      <c r="A146" t="s">
        <v>232</v>
      </c>
      <c r="B146" t="s">
        <v>823</v>
      </c>
      <c r="C146" t="s">
        <v>231</v>
      </c>
      <c r="D146" t="s">
        <v>822</v>
      </c>
      <c r="E146" t="s">
        <v>824</v>
      </c>
      <c r="F146">
        <v>807</v>
      </c>
    </row>
    <row r="147" spans="1:6" ht="14.25" x14ac:dyDescent="0.2">
      <c r="A147" t="s">
        <v>229</v>
      </c>
      <c r="B147" t="s">
        <v>573</v>
      </c>
      <c r="C147" t="s">
        <v>240</v>
      </c>
      <c r="D147" t="s">
        <v>572</v>
      </c>
      <c r="E147" t="s">
        <v>574</v>
      </c>
      <c r="F147">
        <v>466</v>
      </c>
    </row>
    <row r="148" spans="1:6" ht="14.25" x14ac:dyDescent="0.2">
      <c r="A148" t="s">
        <v>121</v>
      </c>
      <c r="B148" t="s">
        <v>317</v>
      </c>
      <c r="C148" t="s">
        <v>227</v>
      </c>
      <c r="D148" t="s">
        <v>316</v>
      </c>
      <c r="E148" t="s">
        <v>318</v>
      </c>
      <c r="F148">
        <v>104</v>
      </c>
    </row>
    <row r="149" spans="1:6" ht="14.25" x14ac:dyDescent="0.2">
      <c r="A149" t="s">
        <v>121</v>
      </c>
      <c r="B149" t="s">
        <v>590</v>
      </c>
      <c r="C149" t="s">
        <v>227</v>
      </c>
      <c r="D149" t="s">
        <v>188</v>
      </c>
      <c r="E149" t="s">
        <v>591</v>
      </c>
      <c r="F149">
        <v>496</v>
      </c>
    </row>
    <row r="150" spans="1:6" ht="14.25" x14ac:dyDescent="0.2">
      <c r="A150" t="s">
        <v>121</v>
      </c>
      <c r="B150" t="s">
        <v>560</v>
      </c>
      <c r="C150" t="s">
        <v>227</v>
      </c>
      <c r="D150" t="s">
        <v>559</v>
      </c>
      <c r="E150" t="s">
        <v>561</v>
      </c>
      <c r="F150">
        <v>446</v>
      </c>
    </row>
    <row r="151" spans="1:6" ht="14.25" x14ac:dyDescent="0.2">
      <c r="A151" t="s">
        <v>244</v>
      </c>
      <c r="B151" t="s">
        <v>652</v>
      </c>
      <c r="C151" t="s">
        <v>243</v>
      </c>
      <c r="D151" t="s">
        <v>651</v>
      </c>
      <c r="E151" t="s">
        <v>653</v>
      </c>
      <c r="F151">
        <v>580</v>
      </c>
    </row>
    <row r="152" spans="1:6" ht="14.25" x14ac:dyDescent="0.2">
      <c r="A152" t="s">
        <v>253</v>
      </c>
      <c r="B152" t="s">
        <v>577</v>
      </c>
      <c r="C152" t="s">
        <v>252</v>
      </c>
      <c r="D152" t="s">
        <v>189</v>
      </c>
      <c r="E152" t="s">
        <v>578</v>
      </c>
      <c r="F152">
        <v>474</v>
      </c>
    </row>
    <row r="153" spans="1:6" ht="14.25" x14ac:dyDescent="0.2">
      <c r="A153" t="s">
        <v>229</v>
      </c>
      <c r="B153" t="s">
        <v>580</v>
      </c>
      <c r="C153" t="s">
        <v>240</v>
      </c>
      <c r="D153" t="s">
        <v>579</v>
      </c>
      <c r="E153" t="s">
        <v>581</v>
      </c>
      <c r="F153">
        <v>478</v>
      </c>
    </row>
    <row r="154" spans="1:6" ht="14.25" x14ac:dyDescent="0.2">
      <c r="A154" t="s">
        <v>253</v>
      </c>
      <c r="B154" t="s">
        <v>597</v>
      </c>
      <c r="C154" t="s">
        <v>252</v>
      </c>
      <c r="D154" t="s">
        <v>190</v>
      </c>
      <c r="E154" t="s">
        <v>598</v>
      </c>
      <c r="F154">
        <v>500</v>
      </c>
    </row>
    <row r="155" spans="1:6" ht="14.25" x14ac:dyDescent="0.2">
      <c r="A155" t="s">
        <v>232</v>
      </c>
      <c r="B155" t="s">
        <v>107</v>
      </c>
      <c r="C155" t="s">
        <v>231</v>
      </c>
      <c r="D155" t="s">
        <v>575</v>
      </c>
      <c r="E155" t="s">
        <v>576</v>
      </c>
      <c r="F155">
        <v>470</v>
      </c>
    </row>
    <row r="156" spans="1:6" ht="14.25" x14ac:dyDescent="0.2">
      <c r="A156" t="s">
        <v>229</v>
      </c>
      <c r="B156" t="s">
        <v>583</v>
      </c>
      <c r="C156" t="s">
        <v>240</v>
      </c>
      <c r="D156" t="s">
        <v>582</v>
      </c>
      <c r="E156" t="s">
        <v>584</v>
      </c>
      <c r="F156">
        <v>480</v>
      </c>
    </row>
    <row r="157" spans="1:6" ht="14.25" x14ac:dyDescent="0.2">
      <c r="A157" t="s">
        <v>121</v>
      </c>
      <c r="B157" t="s">
        <v>570</v>
      </c>
      <c r="C157" t="s">
        <v>227</v>
      </c>
      <c r="D157" t="s">
        <v>569</v>
      </c>
      <c r="E157" t="s">
        <v>571</v>
      </c>
      <c r="F157">
        <v>462</v>
      </c>
    </row>
    <row r="158" spans="1:6" ht="14.25" x14ac:dyDescent="0.2">
      <c r="A158" t="s">
        <v>229</v>
      </c>
      <c r="B158" t="s">
        <v>566</v>
      </c>
      <c r="C158" t="s">
        <v>240</v>
      </c>
      <c r="D158" t="s">
        <v>565</v>
      </c>
      <c r="E158" t="s">
        <v>567</v>
      </c>
      <c r="F158">
        <v>454</v>
      </c>
    </row>
    <row r="159" spans="1:6" ht="14.25" x14ac:dyDescent="0.2">
      <c r="A159" t="s">
        <v>253</v>
      </c>
      <c r="B159" t="s">
        <v>58</v>
      </c>
      <c r="C159" t="s">
        <v>252</v>
      </c>
      <c r="D159" t="s">
        <v>585</v>
      </c>
      <c r="E159" t="s">
        <v>586</v>
      </c>
      <c r="F159">
        <v>484</v>
      </c>
    </row>
    <row r="160" spans="1:6" ht="14.25" x14ac:dyDescent="0.2">
      <c r="A160" t="s">
        <v>121</v>
      </c>
      <c r="B160" t="s">
        <v>139</v>
      </c>
      <c r="C160" t="s">
        <v>227</v>
      </c>
      <c r="D160" t="s">
        <v>191</v>
      </c>
      <c r="E160" t="s">
        <v>568</v>
      </c>
      <c r="F160">
        <v>458</v>
      </c>
    </row>
    <row r="161" spans="1:6" ht="14.25" x14ac:dyDescent="0.2">
      <c r="A161" t="s">
        <v>229</v>
      </c>
      <c r="B161" t="s">
        <v>603</v>
      </c>
      <c r="C161" t="s">
        <v>240</v>
      </c>
      <c r="D161" t="s">
        <v>602</v>
      </c>
      <c r="E161" t="s">
        <v>604</v>
      </c>
      <c r="F161">
        <v>508</v>
      </c>
    </row>
    <row r="162" spans="1:6" ht="14.25" x14ac:dyDescent="0.2">
      <c r="A162" t="s">
        <v>229</v>
      </c>
      <c r="B162" t="s">
        <v>253</v>
      </c>
      <c r="C162" t="s">
        <v>240</v>
      </c>
      <c r="D162" t="s">
        <v>608</v>
      </c>
      <c r="E162" t="s">
        <v>609</v>
      </c>
      <c r="F162">
        <v>516</v>
      </c>
    </row>
    <row r="163" spans="1:6" ht="14.25" x14ac:dyDescent="0.2">
      <c r="A163" t="s">
        <v>244</v>
      </c>
      <c r="B163" t="s">
        <v>630</v>
      </c>
      <c r="C163" t="s">
        <v>243</v>
      </c>
      <c r="D163" t="s">
        <v>192</v>
      </c>
      <c r="E163" t="s">
        <v>631</v>
      </c>
      <c r="F163">
        <v>540</v>
      </c>
    </row>
    <row r="164" spans="1:6" ht="14.25" x14ac:dyDescent="0.2">
      <c r="A164" t="s">
        <v>229</v>
      </c>
      <c r="B164" t="s">
        <v>640</v>
      </c>
      <c r="C164" t="s">
        <v>240</v>
      </c>
      <c r="D164" t="s">
        <v>639</v>
      </c>
      <c r="E164" t="s">
        <v>641</v>
      </c>
      <c r="F164">
        <v>562</v>
      </c>
    </row>
    <row r="165" spans="1:6" ht="14.25" x14ac:dyDescent="0.2">
      <c r="A165" t="s">
        <v>244</v>
      </c>
      <c r="B165" t="s">
        <v>646</v>
      </c>
      <c r="C165" t="s">
        <v>243</v>
      </c>
      <c r="D165" t="s">
        <v>193</v>
      </c>
      <c r="E165" t="s">
        <v>647</v>
      </c>
      <c r="F165">
        <v>574</v>
      </c>
    </row>
    <row r="166" spans="1:6" ht="14.25" x14ac:dyDescent="0.2">
      <c r="A166" t="s">
        <v>229</v>
      </c>
      <c r="B166" t="s">
        <v>65</v>
      </c>
      <c r="C166" t="s">
        <v>240</v>
      </c>
      <c r="D166" t="s">
        <v>642</v>
      </c>
      <c r="E166" t="s">
        <v>643</v>
      </c>
      <c r="F166">
        <v>566</v>
      </c>
    </row>
    <row r="167" spans="1:6" ht="14.25" x14ac:dyDescent="0.2">
      <c r="A167" t="s">
        <v>253</v>
      </c>
      <c r="B167" t="s">
        <v>637</v>
      </c>
      <c r="C167" t="s">
        <v>252</v>
      </c>
      <c r="D167" t="s">
        <v>636</v>
      </c>
      <c r="E167" t="s">
        <v>638</v>
      </c>
      <c r="F167">
        <v>558</v>
      </c>
    </row>
    <row r="168" spans="1:6" ht="14.25" x14ac:dyDescent="0.2">
      <c r="A168" t="s">
        <v>232</v>
      </c>
      <c r="B168" t="s">
        <v>56</v>
      </c>
      <c r="C168" t="s">
        <v>231</v>
      </c>
      <c r="D168" t="s">
        <v>616</v>
      </c>
      <c r="E168" t="s">
        <v>617</v>
      </c>
      <c r="F168">
        <v>528</v>
      </c>
    </row>
    <row r="169" spans="1:6" ht="14.25" x14ac:dyDescent="0.2">
      <c r="A169" t="s">
        <v>232</v>
      </c>
      <c r="B169" t="s">
        <v>649</v>
      </c>
      <c r="C169" t="s">
        <v>231</v>
      </c>
      <c r="D169" t="s">
        <v>648</v>
      </c>
      <c r="E169" t="s">
        <v>650</v>
      </c>
      <c r="F169">
        <v>578</v>
      </c>
    </row>
    <row r="170" spans="1:6" ht="14.25" x14ac:dyDescent="0.2">
      <c r="A170" t="s">
        <v>121</v>
      </c>
      <c r="B170" t="s">
        <v>614</v>
      </c>
      <c r="C170" t="s">
        <v>227</v>
      </c>
      <c r="D170" t="s">
        <v>613</v>
      </c>
      <c r="E170" t="s">
        <v>615</v>
      </c>
      <c r="F170">
        <v>524</v>
      </c>
    </row>
    <row r="171" spans="1:6" ht="14.25" x14ac:dyDescent="0.2">
      <c r="A171" t="s">
        <v>244</v>
      </c>
      <c r="B171" t="s">
        <v>611</v>
      </c>
      <c r="C171" t="s">
        <v>243</v>
      </c>
      <c r="D171" t="s">
        <v>610</v>
      </c>
      <c r="E171" t="s">
        <v>612</v>
      </c>
      <c r="F171">
        <v>520</v>
      </c>
    </row>
    <row r="172" spans="1:6" ht="14.25" x14ac:dyDescent="0.2">
      <c r="A172" t="s">
        <v>244</v>
      </c>
      <c r="B172" t="s">
        <v>644</v>
      </c>
      <c r="C172" t="s">
        <v>243</v>
      </c>
      <c r="D172" t="s">
        <v>194</v>
      </c>
      <c r="E172" t="s">
        <v>645</v>
      </c>
      <c r="F172">
        <v>570</v>
      </c>
    </row>
    <row r="173" spans="1:6" ht="14.25" x14ac:dyDescent="0.2">
      <c r="A173" t="s">
        <v>244</v>
      </c>
      <c r="B173" t="s">
        <v>37</v>
      </c>
      <c r="C173" t="s">
        <v>243</v>
      </c>
      <c r="D173" t="s">
        <v>195</v>
      </c>
      <c r="E173" t="s">
        <v>635</v>
      </c>
      <c r="F173">
        <v>554</v>
      </c>
    </row>
    <row r="174" spans="1:6" ht="14.25" x14ac:dyDescent="0.2">
      <c r="A174" t="s">
        <v>121</v>
      </c>
      <c r="B174" t="s">
        <v>606</v>
      </c>
      <c r="C174" t="s">
        <v>227</v>
      </c>
      <c r="D174" t="s">
        <v>605</v>
      </c>
      <c r="E174" t="s">
        <v>607</v>
      </c>
      <c r="F174">
        <v>512</v>
      </c>
    </row>
    <row r="175" spans="1:6" ht="14.25" x14ac:dyDescent="0.2">
      <c r="A175" t="s">
        <v>253</v>
      </c>
      <c r="B175" t="s">
        <v>668</v>
      </c>
      <c r="C175" t="s">
        <v>252</v>
      </c>
      <c r="D175" t="s">
        <v>667</v>
      </c>
      <c r="E175" t="s">
        <v>669</v>
      </c>
      <c r="F175">
        <v>591</v>
      </c>
    </row>
    <row r="176" spans="1:6" ht="14.25" x14ac:dyDescent="0.2">
      <c r="A176" t="s">
        <v>261</v>
      </c>
      <c r="B176" t="s">
        <v>677</v>
      </c>
      <c r="C176" t="s">
        <v>260</v>
      </c>
      <c r="D176" t="s">
        <v>676</v>
      </c>
      <c r="E176" t="s">
        <v>678</v>
      </c>
      <c r="F176">
        <v>604</v>
      </c>
    </row>
    <row r="177" spans="1:6" ht="14.25" x14ac:dyDescent="0.2">
      <c r="A177" t="s">
        <v>244</v>
      </c>
      <c r="B177" t="s">
        <v>429</v>
      </c>
      <c r="C177" t="s">
        <v>243</v>
      </c>
      <c r="D177" t="s">
        <v>196</v>
      </c>
      <c r="E177" t="s">
        <v>430</v>
      </c>
      <c r="F177">
        <v>258</v>
      </c>
    </row>
    <row r="178" spans="1:6" ht="14.25" x14ac:dyDescent="0.2">
      <c r="A178" t="s">
        <v>244</v>
      </c>
      <c r="B178" t="s">
        <v>671</v>
      </c>
      <c r="C178" t="s">
        <v>243</v>
      </c>
      <c r="D178" t="s">
        <v>670</v>
      </c>
      <c r="E178" t="s">
        <v>672</v>
      </c>
      <c r="F178">
        <v>598</v>
      </c>
    </row>
    <row r="179" spans="1:6" ht="14.25" x14ac:dyDescent="0.2">
      <c r="A179" t="s">
        <v>121</v>
      </c>
      <c r="B179" t="s">
        <v>66</v>
      </c>
      <c r="C179" t="s">
        <v>227</v>
      </c>
      <c r="D179" t="s">
        <v>197</v>
      </c>
      <c r="E179" t="s">
        <v>679</v>
      </c>
      <c r="F179">
        <v>608</v>
      </c>
    </row>
    <row r="180" spans="1:6" ht="14.25" x14ac:dyDescent="0.2">
      <c r="A180" t="s">
        <v>121</v>
      </c>
      <c r="B180" t="s">
        <v>42</v>
      </c>
      <c r="C180" t="s">
        <v>227</v>
      </c>
      <c r="D180" t="s">
        <v>665</v>
      </c>
      <c r="E180" t="s">
        <v>666</v>
      </c>
      <c r="F180">
        <v>586</v>
      </c>
    </row>
    <row r="181" spans="1:6" ht="14.25" x14ac:dyDescent="0.2">
      <c r="A181" t="s">
        <v>232</v>
      </c>
      <c r="B181" t="s">
        <v>45</v>
      </c>
      <c r="C181" t="s">
        <v>231</v>
      </c>
      <c r="D181" t="s">
        <v>683</v>
      </c>
      <c r="E181" t="s">
        <v>684</v>
      </c>
      <c r="F181">
        <v>616</v>
      </c>
    </row>
    <row r="182" spans="1:6" ht="14.25" x14ac:dyDescent="0.2">
      <c r="A182" t="s">
        <v>253</v>
      </c>
      <c r="B182" t="s">
        <v>722</v>
      </c>
      <c r="C182" t="s">
        <v>252</v>
      </c>
      <c r="D182" t="s">
        <v>721</v>
      </c>
      <c r="E182" t="s">
        <v>723</v>
      </c>
      <c r="F182">
        <v>666</v>
      </c>
    </row>
    <row r="183" spans="1:6" ht="14.25" x14ac:dyDescent="0.2">
      <c r="A183" t="s">
        <v>244</v>
      </c>
      <c r="B183" t="s">
        <v>681</v>
      </c>
      <c r="C183" t="s">
        <v>243</v>
      </c>
      <c r="D183" t="s">
        <v>680</v>
      </c>
      <c r="E183" t="s">
        <v>682</v>
      </c>
      <c r="F183">
        <v>612</v>
      </c>
    </row>
    <row r="184" spans="1:6" ht="14.25" x14ac:dyDescent="0.2">
      <c r="A184" t="s">
        <v>253</v>
      </c>
      <c r="B184" t="s">
        <v>127</v>
      </c>
      <c r="C184" t="s">
        <v>252</v>
      </c>
      <c r="D184" t="s">
        <v>693</v>
      </c>
      <c r="E184" t="s">
        <v>694</v>
      </c>
      <c r="F184">
        <v>630</v>
      </c>
    </row>
    <row r="185" spans="1:6" ht="14.25" x14ac:dyDescent="0.2">
      <c r="A185" t="s">
        <v>121</v>
      </c>
      <c r="B185" t="s">
        <v>445</v>
      </c>
      <c r="C185" t="s">
        <v>227</v>
      </c>
      <c r="D185" t="s">
        <v>444</v>
      </c>
      <c r="E185" t="s">
        <v>446</v>
      </c>
      <c r="F185">
        <v>275</v>
      </c>
    </row>
    <row r="186" spans="1:6" ht="14.25" x14ac:dyDescent="0.2">
      <c r="A186" t="s">
        <v>232</v>
      </c>
      <c r="B186" t="s">
        <v>47</v>
      </c>
      <c r="C186" t="s">
        <v>231</v>
      </c>
      <c r="D186" t="s">
        <v>685</v>
      </c>
      <c r="E186" t="s">
        <v>686</v>
      </c>
      <c r="F186">
        <v>620</v>
      </c>
    </row>
    <row r="187" spans="1:6" ht="14.25" x14ac:dyDescent="0.2">
      <c r="A187" t="s">
        <v>244</v>
      </c>
      <c r="B187" t="s">
        <v>663</v>
      </c>
      <c r="C187" t="s">
        <v>243</v>
      </c>
      <c r="D187" t="s">
        <v>662</v>
      </c>
      <c r="E187" t="s">
        <v>664</v>
      </c>
      <c r="F187">
        <v>585</v>
      </c>
    </row>
    <row r="188" spans="1:6" ht="14.25" x14ac:dyDescent="0.2">
      <c r="A188" t="s">
        <v>261</v>
      </c>
      <c r="B188" t="s">
        <v>674</v>
      </c>
      <c r="C188" t="s">
        <v>260</v>
      </c>
      <c r="D188" t="s">
        <v>673</v>
      </c>
      <c r="E188" t="s">
        <v>675</v>
      </c>
      <c r="F188">
        <v>600</v>
      </c>
    </row>
    <row r="189" spans="1:6" ht="14.25" x14ac:dyDescent="0.2">
      <c r="A189" t="s">
        <v>121</v>
      </c>
      <c r="B189" t="s">
        <v>696</v>
      </c>
      <c r="C189" t="s">
        <v>227</v>
      </c>
      <c r="D189" t="s">
        <v>695</v>
      </c>
      <c r="E189" t="s">
        <v>697</v>
      </c>
      <c r="F189">
        <v>634</v>
      </c>
    </row>
    <row r="190" spans="1:6" ht="14.25" x14ac:dyDescent="0.2">
      <c r="A190" t="s">
        <v>229</v>
      </c>
      <c r="B190" t="s">
        <v>698</v>
      </c>
      <c r="C190" t="s">
        <v>240</v>
      </c>
      <c r="D190" t="s">
        <v>198</v>
      </c>
      <c r="E190" t="s">
        <v>699</v>
      </c>
      <c r="F190">
        <v>638</v>
      </c>
    </row>
    <row r="191" spans="1:6" ht="14.25" x14ac:dyDescent="0.2">
      <c r="A191" t="s">
        <v>232</v>
      </c>
      <c r="B191" t="s">
        <v>96</v>
      </c>
      <c r="C191" t="s">
        <v>231</v>
      </c>
      <c r="D191" t="s">
        <v>199</v>
      </c>
      <c r="E191" t="s">
        <v>700</v>
      </c>
      <c r="F191">
        <v>642</v>
      </c>
    </row>
    <row r="192" spans="1:6" ht="14.25" x14ac:dyDescent="0.2">
      <c r="A192" t="s">
        <v>232</v>
      </c>
      <c r="B192" t="s">
        <v>126</v>
      </c>
      <c r="C192" t="s">
        <v>231</v>
      </c>
      <c r="D192" t="s">
        <v>738</v>
      </c>
      <c r="E192" t="s">
        <v>739</v>
      </c>
      <c r="F192">
        <v>688</v>
      </c>
    </row>
    <row r="193" spans="1:6" ht="14.25" x14ac:dyDescent="0.2">
      <c r="A193" t="s">
        <v>232</v>
      </c>
      <c r="B193" t="s">
        <v>75</v>
      </c>
      <c r="C193" t="s">
        <v>231</v>
      </c>
      <c r="D193" t="s">
        <v>200</v>
      </c>
      <c r="E193" t="s">
        <v>701</v>
      </c>
      <c r="F193">
        <v>643</v>
      </c>
    </row>
    <row r="194" spans="1:6" ht="14.25" x14ac:dyDescent="0.2">
      <c r="A194" t="s">
        <v>229</v>
      </c>
      <c r="B194" t="s">
        <v>703</v>
      </c>
      <c r="C194" t="s">
        <v>240</v>
      </c>
      <c r="D194" t="s">
        <v>702</v>
      </c>
      <c r="E194" t="s">
        <v>704</v>
      </c>
      <c r="F194">
        <v>646</v>
      </c>
    </row>
    <row r="195" spans="1:6" ht="14.25" x14ac:dyDescent="0.2">
      <c r="A195" t="s">
        <v>121</v>
      </c>
      <c r="B195" t="s">
        <v>261</v>
      </c>
      <c r="C195" t="s">
        <v>227</v>
      </c>
      <c r="D195" t="s">
        <v>733</v>
      </c>
      <c r="E195" t="s">
        <v>734</v>
      </c>
      <c r="F195">
        <v>682</v>
      </c>
    </row>
    <row r="196" spans="1:6" ht="14.25" x14ac:dyDescent="0.2">
      <c r="A196" t="s">
        <v>244</v>
      </c>
      <c r="B196" t="s">
        <v>307</v>
      </c>
      <c r="C196" t="s">
        <v>243</v>
      </c>
      <c r="D196" t="s">
        <v>201</v>
      </c>
      <c r="E196" t="s">
        <v>308</v>
      </c>
      <c r="F196">
        <v>90</v>
      </c>
    </row>
    <row r="197" spans="1:6" ht="14.25" x14ac:dyDescent="0.2">
      <c r="A197" t="s">
        <v>229</v>
      </c>
      <c r="B197" t="s">
        <v>741</v>
      </c>
      <c r="C197" t="s">
        <v>240</v>
      </c>
      <c r="D197" t="s">
        <v>740</v>
      </c>
      <c r="E197" t="s">
        <v>742</v>
      </c>
      <c r="F197">
        <v>690</v>
      </c>
    </row>
    <row r="198" spans="1:6" ht="14.25" x14ac:dyDescent="0.2">
      <c r="A198" t="s">
        <v>229</v>
      </c>
      <c r="B198" t="s">
        <v>772</v>
      </c>
      <c r="C198" t="s">
        <v>240</v>
      </c>
      <c r="D198" t="s">
        <v>771</v>
      </c>
      <c r="E198" t="s">
        <v>773</v>
      </c>
      <c r="F198">
        <v>736</v>
      </c>
    </row>
    <row r="199" spans="1:6" ht="14.25" x14ac:dyDescent="0.2">
      <c r="A199" t="s">
        <v>232</v>
      </c>
      <c r="B199" t="s">
        <v>17</v>
      </c>
      <c r="C199" t="s">
        <v>231</v>
      </c>
      <c r="D199" t="s">
        <v>783</v>
      </c>
      <c r="E199" t="s">
        <v>784</v>
      </c>
      <c r="F199">
        <v>752</v>
      </c>
    </row>
    <row r="200" spans="1:6" ht="14.25" x14ac:dyDescent="0.2">
      <c r="A200" t="s">
        <v>121</v>
      </c>
      <c r="B200" t="s">
        <v>90</v>
      </c>
      <c r="C200" t="s">
        <v>227</v>
      </c>
      <c r="D200" t="s">
        <v>746</v>
      </c>
      <c r="E200" t="s">
        <v>747</v>
      </c>
      <c r="F200">
        <v>702</v>
      </c>
    </row>
    <row r="201" spans="1:6" ht="14.25" x14ac:dyDescent="0.2">
      <c r="A201" t="s">
        <v>229</v>
      </c>
      <c r="B201" t="s">
        <v>709</v>
      </c>
      <c r="C201" t="s">
        <v>240</v>
      </c>
      <c r="D201" t="s">
        <v>708</v>
      </c>
      <c r="E201" t="s">
        <v>710</v>
      </c>
      <c r="F201">
        <v>654</v>
      </c>
    </row>
    <row r="202" spans="1:6" ht="14.25" x14ac:dyDescent="0.2">
      <c r="A202" t="s">
        <v>232</v>
      </c>
      <c r="B202" t="s">
        <v>118</v>
      </c>
      <c r="C202" t="s">
        <v>231</v>
      </c>
      <c r="D202" t="s">
        <v>752</v>
      </c>
      <c r="E202" t="s">
        <v>753</v>
      </c>
      <c r="F202">
        <v>705</v>
      </c>
    </row>
    <row r="203" spans="1:6" ht="14.25" x14ac:dyDescent="0.2">
      <c r="A203" t="s">
        <v>232</v>
      </c>
      <c r="B203" t="s">
        <v>778</v>
      </c>
      <c r="C203" t="s">
        <v>231</v>
      </c>
      <c r="D203" t="s">
        <v>777</v>
      </c>
      <c r="E203" t="s">
        <v>779</v>
      </c>
      <c r="F203">
        <v>744</v>
      </c>
    </row>
    <row r="204" spans="1:6" ht="14.25" x14ac:dyDescent="0.2">
      <c r="A204" t="s">
        <v>232</v>
      </c>
      <c r="B204" t="s">
        <v>748</v>
      </c>
      <c r="C204" t="s">
        <v>231</v>
      </c>
      <c r="D204" t="s">
        <v>202</v>
      </c>
      <c r="E204" t="s">
        <v>749</v>
      </c>
      <c r="F204">
        <v>703</v>
      </c>
    </row>
    <row r="205" spans="1:6" ht="14.25" x14ac:dyDescent="0.2">
      <c r="A205" t="s">
        <v>229</v>
      </c>
      <c r="B205" t="s">
        <v>744</v>
      </c>
      <c r="C205" t="s">
        <v>240</v>
      </c>
      <c r="D205" t="s">
        <v>743</v>
      </c>
      <c r="E205" t="s">
        <v>745</v>
      </c>
      <c r="F205">
        <v>694</v>
      </c>
    </row>
    <row r="206" spans="1:6" ht="14.25" x14ac:dyDescent="0.2">
      <c r="A206" t="s">
        <v>232</v>
      </c>
      <c r="B206" t="s">
        <v>728</v>
      </c>
      <c r="C206" t="s">
        <v>231</v>
      </c>
      <c r="D206" t="s">
        <v>727</v>
      </c>
      <c r="E206" t="s">
        <v>729</v>
      </c>
      <c r="F206">
        <v>674</v>
      </c>
    </row>
    <row r="207" spans="1:6" ht="14.25" x14ac:dyDescent="0.2">
      <c r="A207" t="s">
        <v>229</v>
      </c>
      <c r="B207" t="s">
        <v>736</v>
      </c>
      <c r="C207" t="s">
        <v>240</v>
      </c>
      <c r="D207" t="s">
        <v>735</v>
      </c>
      <c r="E207" t="s">
        <v>737</v>
      </c>
      <c r="F207">
        <v>686</v>
      </c>
    </row>
    <row r="208" spans="1:6" ht="14.25" x14ac:dyDescent="0.2">
      <c r="A208" t="s">
        <v>229</v>
      </c>
      <c r="B208" t="s">
        <v>755</v>
      </c>
      <c r="C208" t="s">
        <v>240</v>
      </c>
      <c r="D208" t="s">
        <v>754</v>
      </c>
      <c r="E208" t="s">
        <v>756</v>
      </c>
      <c r="F208">
        <v>706</v>
      </c>
    </row>
    <row r="209" spans="1:6" ht="14.25" x14ac:dyDescent="0.2">
      <c r="A209" t="s">
        <v>261</v>
      </c>
      <c r="B209" t="s">
        <v>775</v>
      </c>
      <c r="C209" t="s">
        <v>260</v>
      </c>
      <c r="D209" t="s">
        <v>774</v>
      </c>
      <c r="E209" t="s">
        <v>776</v>
      </c>
      <c r="F209">
        <v>740</v>
      </c>
    </row>
    <row r="210" spans="1:6" ht="14.25" x14ac:dyDescent="0.2">
      <c r="A210" t="s">
        <v>229</v>
      </c>
      <c r="B210" t="s">
        <v>766</v>
      </c>
      <c r="C210" t="s">
        <v>240</v>
      </c>
      <c r="D210" t="s">
        <v>765</v>
      </c>
      <c r="E210" t="s">
        <v>767</v>
      </c>
      <c r="F210">
        <v>728</v>
      </c>
    </row>
    <row r="211" spans="1:6" ht="14.25" x14ac:dyDescent="0.2">
      <c r="A211" t="s">
        <v>229</v>
      </c>
      <c r="B211" t="s">
        <v>731</v>
      </c>
      <c r="C211" t="s">
        <v>240</v>
      </c>
      <c r="D211" t="s">
        <v>730</v>
      </c>
      <c r="E211" t="s">
        <v>732</v>
      </c>
      <c r="F211">
        <v>678</v>
      </c>
    </row>
    <row r="212" spans="1:6" ht="14.25" x14ac:dyDescent="0.2">
      <c r="A212" t="s">
        <v>253</v>
      </c>
      <c r="B212" t="s">
        <v>396</v>
      </c>
      <c r="C212" t="s">
        <v>252</v>
      </c>
      <c r="D212" t="s">
        <v>395</v>
      </c>
      <c r="E212" t="s">
        <v>397</v>
      </c>
      <c r="F212">
        <v>222</v>
      </c>
    </row>
    <row r="213" spans="1:6" ht="14.25" x14ac:dyDescent="0.2">
      <c r="A213" t="s">
        <v>253</v>
      </c>
      <c r="B213" t="s">
        <v>625</v>
      </c>
      <c r="C213" t="s">
        <v>252</v>
      </c>
      <c r="D213" t="s">
        <v>624</v>
      </c>
      <c r="E213" t="s">
        <v>626</v>
      </c>
      <c r="F213">
        <v>534</v>
      </c>
    </row>
    <row r="214" spans="1:6" ht="14.25" x14ac:dyDescent="0.2">
      <c r="A214" t="s">
        <v>121</v>
      </c>
      <c r="B214" t="s">
        <v>787</v>
      </c>
      <c r="C214" t="s">
        <v>227</v>
      </c>
      <c r="D214" t="s">
        <v>203</v>
      </c>
      <c r="E214" t="s">
        <v>788</v>
      </c>
      <c r="F214">
        <v>760</v>
      </c>
    </row>
    <row r="215" spans="1:6" ht="14.25" x14ac:dyDescent="0.2">
      <c r="A215" t="s">
        <v>229</v>
      </c>
      <c r="B215" t="s">
        <v>781</v>
      </c>
      <c r="C215" t="s">
        <v>240</v>
      </c>
      <c r="D215" t="s">
        <v>780</v>
      </c>
      <c r="E215" t="s">
        <v>782</v>
      </c>
      <c r="F215">
        <v>748</v>
      </c>
    </row>
    <row r="216" spans="1:6" ht="14.25" x14ac:dyDescent="0.2">
      <c r="A216" t="s">
        <v>253</v>
      </c>
      <c r="B216" t="s">
        <v>814</v>
      </c>
      <c r="C216" t="s">
        <v>252</v>
      </c>
      <c r="D216" t="s">
        <v>813</v>
      </c>
      <c r="E216" t="s">
        <v>815</v>
      </c>
      <c r="F216">
        <v>796</v>
      </c>
    </row>
    <row r="217" spans="1:6" ht="14.25" x14ac:dyDescent="0.2">
      <c r="A217" t="s">
        <v>229</v>
      </c>
      <c r="B217" t="s">
        <v>343</v>
      </c>
      <c r="C217" t="s">
        <v>240</v>
      </c>
      <c r="D217" t="s">
        <v>342</v>
      </c>
      <c r="E217" t="s">
        <v>344</v>
      </c>
      <c r="F217">
        <v>148</v>
      </c>
    </row>
    <row r="218" spans="1:6" ht="14.25" x14ac:dyDescent="0.2">
      <c r="A218" t="s">
        <v>236</v>
      </c>
      <c r="B218" t="s">
        <v>431</v>
      </c>
      <c r="C218" t="s">
        <v>157</v>
      </c>
      <c r="D218" t="s">
        <v>204</v>
      </c>
      <c r="E218" t="s">
        <v>432</v>
      </c>
      <c r="F218">
        <v>260</v>
      </c>
    </row>
    <row r="219" spans="1:6" ht="14.25" x14ac:dyDescent="0.2">
      <c r="A219" t="s">
        <v>229</v>
      </c>
      <c r="B219" t="s">
        <v>796</v>
      </c>
      <c r="C219" t="s">
        <v>240</v>
      </c>
      <c r="D219" t="s">
        <v>795</v>
      </c>
      <c r="E219" t="s">
        <v>797</v>
      </c>
      <c r="F219">
        <v>768</v>
      </c>
    </row>
    <row r="220" spans="1:6" ht="14.25" x14ac:dyDescent="0.2">
      <c r="A220" t="s">
        <v>121</v>
      </c>
      <c r="B220" t="s">
        <v>793</v>
      </c>
      <c r="C220" t="s">
        <v>227</v>
      </c>
      <c r="D220" t="s">
        <v>792</v>
      </c>
      <c r="E220" t="s">
        <v>794</v>
      </c>
      <c r="F220">
        <v>764</v>
      </c>
    </row>
    <row r="221" spans="1:6" ht="14.25" x14ac:dyDescent="0.2">
      <c r="A221" t="s">
        <v>121</v>
      </c>
      <c r="B221" t="s">
        <v>790</v>
      </c>
      <c r="C221" t="s">
        <v>227</v>
      </c>
      <c r="D221" t="s">
        <v>789</v>
      </c>
      <c r="E221" t="s">
        <v>791</v>
      </c>
      <c r="F221">
        <v>762</v>
      </c>
    </row>
    <row r="222" spans="1:6" ht="14.25" x14ac:dyDescent="0.2">
      <c r="A222" t="s">
        <v>244</v>
      </c>
      <c r="B222" t="s">
        <v>798</v>
      </c>
      <c r="C222" t="s">
        <v>243</v>
      </c>
      <c r="D222" t="s">
        <v>205</v>
      </c>
      <c r="E222" t="s">
        <v>799</v>
      </c>
      <c r="F222">
        <v>772</v>
      </c>
    </row>
    <row r="223" spans="1:6" ht="14.25" x14ac:dyDescent="0.2">
      <c r="A223" t="s">
        <v>121</v>
      </c>
      <c r="B223" t="s">
        <v>691</v>
      </c>
      <c r="C223" t="s">
        <v>227</v>
      </c>
      <c r="D223" t="s">
        <v>690</v>
      </c>
      <c r="E223" t="s">
        <v>692</v>
      </c>
      <c r="F223">
        <v>626</v>
      </c>
    </row>
    <row r="224" spans="1:6" ht="14.25" x14ac:dyDescent="0.2">
      <c r="A224" t="s">
        <v>121</v>
      </c>
      <c r="B224" t="s">
        <v>811</v>
      </c>
      <c r="C224" t="s">
        <v>227</v>
      </c>
      <c r="D224" t="s">
        <v>206</v>
      </c>
      <c r="E224" t="s">
        <v>812</v>
      </c>
      <c r="F224">
        <v>795</v>
      </c>
    </row>
    <row r="225" spans="1:6" ht="14.25" x14ac:dyDescent="0.2">
      <c r="A225" t="s">
        <v>229</v>
      </c>
      <c r="B225" t="s">
        <v>138</v>
      </c>
      <c r="C225" t="s">
        <v>240</v>
      </c>
      <c r="D225" t="s">
        <v>807</v>
      </c>
      <c r="E225" t="s">
        <v>808</v>
      </c>
      <c r="F225">
        <v>788</v>
      </c>
    </row>
    <row r="226" spans="1:6" ht="14.25" x14ac:dyDescent="0.2">
      <c r="A226" t="s">
        <v>244</v>
      </c>
      <c r="B226" t="s">
        <v>801</v>
      </c>
      <c r="C226" t="s">
        <v>243</v>
      </c>
      <c r="D226" t="s">
        <v>800</v>
      </c>
      <c r="E226" t="s">
        <v>802</v>
      </c>
      <c r="F226">
        <v>776</v>
      </c>
    </row>
    <row r="227" spans="1:6" ht="14.25" x14ac:dyDescent="0.2">
      <c r="A227" t="s">
        <v>232</v>
      </c>
      <c r="B227" t="s">
        <v>123</v>
      </c>
      <c r="C227" t="s">
        <v>231</v>
      </c>
      <c r="D227" t="s">
        <v>809</v>
      </c>
      <c r="E227" t="s">
        <v>810</v>
      </c>
      <c r="F227">
        <v>792</v>
      </c>
    </row>
    <row r="228" spans="1:6" ht="14.25" x14ac:dyDescent="0.2">
      <c r="A228" t="s">
        <v>253</v>
      </c>
      <c r="B228" t="s">
        <v>804</v>
      </c>
      <c r="C228" t="s">
        <v>252</v>
      </c>
      <c r="D228" t="s">
        <v>803</v>
      </c>
      <c r="E228" t="s">
        <v>805</v>
      </c>
      <c r="F228">
        <v>780</v>
      </c>
    </row>
    <row r="229" spans="1:6" ht="14.25" x14ac:dyDescent="0.2">
      <c r="A229" t="s">
        <v>244</v>
      </c>
      <c r="B229" t="s">
        <v>816</v>
      </c>
      <c r="C229" t="s">
        <v>243</v>
      </c>
      <c r="D229" t="s">
        <v>207</v>
      </c>
      <c r="E229" t="s">
        <v>817</v>
      </c>
      <c r="F229">
        <v>798</v>
      </c>
    </row>
    <row r="230" spans="1:6" ht="14.25" x14ac:dyDescent="0.2">
      <c r="A230" t="s">
        <v>121</v>
      </c>
      <c r="B230" t="s">
        <v>349</v>
      </c>
      <c r="C230" t="s">
        <v>227</v>
      </c>
      <c r="D230" t="s">
        <v>208</v>
      </c>
      <c r="E230" t="s">
        <v>350</v>
      </c>
      <c r="F230">
        <v>158</v>
      </c>
    </row>
    <row r="231" spans="1:6" ht="14.25" x14ac:dyDescent="0.2">
      <c r="A231" t="s">
        <v>229</v>
      </c>
      <c r="B231" t="s">
        <v>838</v>
      </c>
      <c r="C231" t="s">
        <v>240</v>
      </c>
      <c r="D231" t="s">
        <v>837</v>
      </c>
      <c r="E231" t="s">
        <v>839</v>
      </c>
      <c r="F231">
        <v>834</v>
      </c>
    </row>
    <row r="232" spans="1:6" ht="14.25" x14ac:dyDescent="0.2">
      <c r="A232" t="s">
        <v>232</v>
      </c>
      <c r="B232" t="s">
        <v>103</v>
      </c>
      <c r="C232" t="s">
        <v>231</v>
      </c>
      <c r="D232" t="s">
        <v>209</v>
      </c>
      <c r="E232" t="s">
        <v>821</v>
      </c>
      <c r="F232">
        <v>804</v>
      </c>
    </row>
    <row r="233" spans="1:6" ht="14.25" x14ac:dyDescent="0.2">
      <c r="A233" t="s">
        <v>229</v>
      </c>
      <c r="B233" t="s">
        <v>819</v>
      </c>
      <c r="C233" t="s">
        <v>240</v>
      </c>
      <c r="D233" t="s">
        <v>818</v>
      </c>
      <c r="E233" t="s">
        <v>820</v>
      </c>
      <c r="F233">
        <v>800</v>
      </c>
    </row>
    <row r="234" spans="1:6" ht="14.25" x14ac:dyDescent="0.2">
      <c r="A234" t="s">
        <v>244</v>
      </c>
      <c r="B234" t="s">
        <v>654</v>
      </c>
      <c r="C234" t="s">
        <v>243</v>
      </c>
      <c r="D234" t="s">
        <v>210</v>
      </c>
      <c r="E234" t="s">
        <v>655</v>
      </c>
      <c r="F234">
        <v>581</v>
      </c>
    </row>
    <row r="235" spans="1:6" ht="14.25" x14ac:dyDescent="0.2">
      <c r="A235" t="s">
        <v>253</v>
      </c>
      <c r="B235" t="s">
        <v>29</v>
      </c>
      <c r="C235" t="s">
        <v>252</v>
      </c>
      <c r="D235" t="s">
        <v>840</v>
      </c>
      <c r="E235" t="s">
        <v>841</v>
      </c>
      <c r="F235">
        <v>840</v>
      </c>
    </row>
    <row r="236" spans="1:6" ht="14.25" x14ac:dyDescent="0.2">
      <c r="A236" t="s">
        <v>261</v>
      </c>
      <c r="B236" t="s">
        <v>848</v>
      </c>
      <c r="C236" t="s">
        <v>260</v>
      </c>
      <c r="D236" t="s">
        <v>847</v>
      </c>
      <c r="E236" t="s">
        <v>849</v>
      </c>
      <c r="F236">
        <v>858</v>
      </c>
    </row>
    <row r="237" spans="1:6" ht="14.25" x14ac:dyDescent="0.2">
      <c r="A237" t="s">
        <v>121</v>
      </c>
      <c r="B237" t="s">
        <v>851</v>
      </c>
      <c r="C237" t="s">
        <v>227</v>
      </c>
      <c r="D237" t="s">
        <v>850</v>
      </c>
      <c r="E237" t="s">
        <v>852</v>
      </c>
      <c r="F237">
        <v>860</v>
      </c>
    </row>
    <row r="238" spans="1:6" ht="14.25" x14ac:dyDescent="0.2">
      <c r="A238" t="s">
        <v>232</v>
      </c>
      <c r="B238" t="s">
        <v>483</v>
      </c>
      <c r="C238" t="s">
        <v>231</v>
      </c>
      <c r="D238" t="s">
        <v>482</v>
      </c>
      <c r="E238" t="s">
        <v>484</v>
      </c>
      <c r="F238">
        <v>336</v>
      </c>
    </row>
    <row r="239" spans="1:6" ht="14.25" x14ac:dyDescent="0.2">
      <c r="A239" t="s">
        <v>253</v>
      </c>
      <c r="B239" t="s">
        <v>725</v>
      </c>
      <c r="C239" t="s">
        <v>252</v>
      </c>
      <c r="D239" t="s">
        <v>724</v>
      </c>
      <c r="E239" t="s">
        <v>726</v>
      </c>
      <c r="F239">
        <v>670</v>
      </c>
    </row>
    <row r="240" spans="1:6" ht="14.25" x14ac:dyDescent="0.2">
      <c r="A240" t="s">
        <v>261</v>
      </c>
      <c r="B240" t="s">
        <v>854</v>
      </c>
      <c r="C240" t="s">
        <v>260</v>
      </c>
      <c r="D240" t="s">
        <v>853</v>
      </c>
      <c r="E240" t="s">
        <v>855</v>
      </c>
      <c r="F240">
        <v>862</v>
      </c>
    </row>
    <row r="241" spans="1:6" ht="14.25" x14ac:dyDescent="0.2">
      <c r="A241" t="s">
        <v>253</v>
      </c>
      <c r="B241" t="s">
        <v>310</v>
      </c>
      <c r="C241" t="s">
        <v>252</v>
      </c>
      <c r="D241" t="s">
        <v>309</v>
      </c>
      <c r="E241" t="s">
        <v>311</v>
      </c>
      <c r="F241">
        <v>92</v>
      </c>
    </row>
    <row r="242" spans="1:6" ht="14.25" x14ac:dyDescent="0.2">
      <c r="A242" t="s">
        <v>253</v>
      </c>
      <c r="B242" t="s">
        <v>843</v>
      </c>
      <c r="C242" t="s">
        <v>252</v>
      </c>
      <c r="D242" t="s">
        <v>842</v>
      </c>
      <c r="E242" t="s">
        <v>844</v>
      </c>
      <c r="F242">
        <v>850</v>
      </c>
    </row>
    <row r="243" spans="1:6" ht="14.25" x14ac:dyDescent="0.2">
      <c r="A243" t="s">
        <v>121</v>
      </c>
      <c r="B243" t="s">
        <v>101</v>
      </c>
      <c r="C243" t="s">
        <v>227</v>
      </c>
      <c r="D243" t="s">
        <v>750</v>
      </c>
      <c r="E243" t="s">
        <v>751</v>
      </c>
      <c r="F243">
        <v>704</v>
      </c>
    </row>
    <row r="244" spans="1:6" ht="14.25" x14ac:dyDescent="0.2">
      <c r="A244" t="s">
        <v>244</v>
      </c>
      <c r="B244" t="s">
        <v>633</v>
      </c>
      <c r="C244" t="s">
        <v>243</v>
      </c>
      <c r="D244" t="s">
        <v>632</v>
      </c>
      <c r="E244" t="s">
        <v>634</v>
      </c>
      <c r="F244">
        <v>548</v>
      </c>
    </row>
    <row r="245" spans="1:6" ht="14.25" x14ac:dyDescent="0.2">
      <c r="A245" t="s">
        <v>244</v>
      </c>
      <c r="B245" t="s">
        <v>857</v>
      </c>
      <c r="C245" t="s">
        <v>243</v>
      </c>
      <c r="D245" t="s">
        <v>856</v>
      </c>
      <c r="E245" t="s">
        <v>858</v>
      </c>
      <c r="F245">
        <v>876</v>
      </c>
    </row>
    <row r="246" spans="1:6" ht="14.25" x14ac:dyDescent="0.2">
      <c r="A246" t="s">
        <v>244</v>
      </c>
      <c r="B246" t="s">
        <v>860</v>
      </c>
      <c r="C246" t="s">
        <v>243</v>
      </c>
      <c r="D246" t="s">
        <v>859</v>
      </c>
      <c r="E246" t="s">
        <v>861</v>
      </c>
      <c r="F246">
        <v>882</v>
      </c>
    </row>
    <row r="247" spans="1:6" ht="14.25" x14ac:dyDescent="0.2">
      <c r="A247" t="s">
        <v>121</v>
      </c>
      <c r="B247" t="s">
        <v>872</v>
      </c>
      <c r="C247" t="s">
        <v>227</v>
      </c>
      <c r="D247" t="s">
        <v>871</v>
      </c>
    </row>
    <row r="248" spans="1:6" ht="14.25" x14ac:dyDescent="0.2">
      <c r="A248" t="s">
        <v>121</v>
      </c>
      <c r="B248" t="s">
        <v>870</v>
      </c>
      <c r="C248" t="s">
        <v>227</v>
      </c>
      <c r="D248" t="s">
        <v>869</v>
      </c>
    </row>
    <row r="249" spans="1:6" ht="14.25" x14ac:dyDescent="0.2">
      <c r="A249" t="s">
        <v>121</v>
      </c>
      <c r="B249" t="s">
        <v>874</v>
      </c>
      <c r="C249" t="s">
        <v>227</v>
      </c>
      <c r="D249" t="s">
        <v>873</v>
      </c>
    </row>
    <row r="250" spans="1:6" ht="14.25" x14ac:dyDescent="0.2">
      <c r="A250" t="s">
        <v>244</v>
      </c>
      <c r="B250" t="s">
        <v>868</v>
      </c>
      <c r="C250" t="s">
        <v>243</v>
      </c>
      <c r="D250" t="s">
        <v>867</v>
      </c>
    </row>
    <row r="251" spans="1:6" ht="14.25" x14ac:dyDescent="0.2">
      <c r="A251" t="s">
        <v>121</v>
      </c>
      <c r="B251" t="s">
        <v>862</v>
      </c>
      <c r="C251" t="s">
        <v>227</v>
      </c>
      <c r="D251" t="s">
        <v>211</v>
      </c>
      <c r="E251" t="s">
        <v>863</v>
      </c>
      <c r="F251">
        <v>887</v>
      </c>
    </row>
    <row r="252" spans="1:6" ht="14.25" x14ac:dyDescent="0.2">
      <c r="A252" t="s">
        <v>229</v>
      </c>
      <c r="B252" t="s">
        <v>360</v>
      </c>
      <c r="C252" t="s">
        <v>240</v>
      </c>
      <c r="D252" t="s">
        <v>212</v>
      </c>
      <c r="E252" t="s">
        <v>361</v>
      </c>
      <c r="F252">
        <v>175</v>
      </c>
    </row>
    <row r="253" spans="1:6" ht="14.25" x14ac:dyDescent="0.2">
      <c r="A253" t="s">
        <v>229</v>
      </c>
      <c r="B253" t="s">
        <v>758</v>
      </c>
      <c r="C253" t="s">
        <v>240</v>
      </c>
      <c r="D253" t="s">
        <v>757</v>
      </c>
      <c r="E253" t="s">
        <v>759</v>
      </c>
      <c r="F253">
        <v>710</v>
      </c>
    </row>
    <row r="254" spans="1:6" ht="14.25" x14ac:dyDescent="0.2">
      <c r="A254" t="s">
        <v>229</v>
      </c>
      <c r="B254" t="s">
        <v>865</v>
      </c>
      <c r="C254" t="s">
        <v>240</v>
      </c>
      <c r="D254" t="s">
        <v>864</v>
      </c>
      <c r="E254" t="s">
        <v>866</v>
      </c>
      <c r="F254">
        <v>894</v>
      </c>
    </row>
    <row r="255" spans="1:6" ht="14.25" x14ac:dyDescent="0.2">
      <c r="A255" t="s">
        <v>229</v>
      </c>
      <c r="B255" t="s">
        <v>761</v>
      </c>
      <c r="C255" t="s">
        <v>240</v>
      </c>
      <c r="D255" t="s">
        <v>760</v>
      </c>
      <c r="E255" t="s">
        <v>762</v>
      </c>
      <c r="F255">
        <v>716</v>
      </c>
    </row>
  </sheetData>
  <sortState xmlns:xlrd2="http://schemas.microsoft.com/office/spreadsheetml/2017/richdata2" ref="A2:F255">
    <sortCondition ref="B1:B255"/>
  </sortState>
  <conditionalFormatting sqref="B1:B255 B264:B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0779A-B2A0-4287-B3B1-4DFCD499BFDB}">
  <sheetPr codeName="Sheet2"/>
  <dimension ref="A1:L608"/>
  <sheetViews>
    <sheetView topLeftCell="A574" workbookViewId="0">
      <selection activeCell="D3" sqref="D3"/>
    </sheetView>
  </sheetViews>
  <sheetFormatPr defaultRowHeight="14.25" x14ac:dyDescent="0.2"/>
  <cols>
    <col min="1" max="1" width="10.25" style="1" customWidth="1"/>
    <col min="2" max="2" width="13" customWidth="1"/>
    <col min="3" max="3" width="16.5" customWidth="1"/>
    <col min="4" max="5" width="17.625" customWidth="1"/>
    <col min="6" max="6" width="38.375" customWidth="1"/>
    <col min="7" max="7" width="13" customWidth="1"/>
    <col min="8" max="8" width="19.875" customWidth="1"/>
    <col min="9" max="9" width="13.5" customWidth="1"/>
    <col min="10" max="11" width="17.375" customWidth="1"/>
    <col min="12" max="12" width="13.5" customWidth="1"/>
  </cols>
  <sheetData>
    <row r="1" spans="1:12" x14ac:dyDescent="0.2">
      <c r="A1" s="1" t="s">
        <v>0</v>
      </c>
      <c r="B1" t="s">
        <v>218</v>
      </c>
      <c r="C1" t="s">
        <v>1</v>
      </c>
      <c r="D1" t="s">
        <v>2</v>
      </c>
      <c r="E1" t="s">
        <v>881</v>
      </c>
      <c r="F1" t="s">
        <v>3</v>
      </c>
      <c r="G1" t="s">
        <v>6</v>
      </c>
      <c r="H1" t="s">
        <v>7</v>
      </c>
      <c r="I1" t="s">
        <v>8</v>
      </c>
      <c r="J1" t="s">
        <v>9</v>
      </c>
      <c r="K1" t="s">
        <v>875</v>
      </c>
      <c r="L1" t="s">
        <v>10</v>
      </c>
    </row>
    <row r="2" spans="1:12" x14ac:dyDescent="0.2">
      <c r="A2" s="1">
        <v>2020</v>
      </c>
      <c r="B2" t="str">
        <f>VLOOKUP(C2,References!$A$5:$B$8,2,TRUE)</f>
        <v>Mid level</v>
      </c>
      <c r="C2" t="s">
        <v>11</v>
      </c>
      <c r="D2" t="s">
        <v>147</v>
      </c>
      <c r="E2" t="str">
        <f>VLOOKUP(F2,References!$D$1:$F$50,3,TRUE)</f>
        <v>Data Scientist</v>
      </c>
      <c r="F2" t="s">
        <v>13</v>
      </c>
      <c r="G2">
        <v>79833</v>
      </c>
      <c r="H2" t="s">
        <v>15</v>
      </c>
      <c r="I2">
        <v>0</v>
      </c>
      <c r="J2" t="s">
        <v>15</v>
      </c>
      <c r="K2" t="str">
        <f>VLOOKUP(J2,CountryName!$B:$C,2,TRUE)</f>
        <v>Europe</v>
      </c>
      <c r="L2" t="s">
        <v>151</v>
      </c>
    </row>
    <row r="3" spans="1:12" x14ac:dyDescent="0.2">
      <c r="A3" s="1">
        <v>2020</v>
      </c>
      <c r="B3" t="str">
        <f>VLOOKUP(C3,References!$A$5:$B$8,2,TRUE)</f>
        <v>Senior Level</v>
      </c>
      <c r="C3" t="s">
        <v>17</v>
      </c>
      <c r="D3" t="s">
        <v>147</v>
      </c>
      <c r="E3" t="str">
        <f>VLOOKUP(F3,References!$D$1:$F$50,3,TRUE)</f>
        <v>Scientist</v>
      </c>
      <c r="F3" t="s">
        <v>18</v>
      </c>
      <c r="G3">
        <v>260000</v>
      </c>
      <c r="H3" t="s">
        <v>20</v>
      </c>
      <c r="I3">
        <v>0</v>
      </c>
      <c r="J3" t="s">
        <v>20</v>
      </c>
      <c r="K3" t="str">
        <f>VLOOKUP(J3,CountryName!$B:$C,2,TRUE)</f>
        <v>Asia</v>
      </c>
      <c r="L3" t="s">
        <v>152</v>
      </c>
    </row>
    <row r="4" spans="1:12" x14ac:dyDescent="0.2">
      <c r="A4" s="1">
        <v>2020</v>
      </c>
      <c r="B4" t="str">
        <f>VLOOKUP(C4,References!$A$5:$B$8,2,TRUE)</f>
        <v>Senior Level</v>
      </c>
      <c r="C4" t="s">
        <v>17</v>
      </c>
      <c r="D4" t="s">
        <v>147</v>
      </c>
      <c r="E4" t="str">
        <f>VLOOKUP(F4,References!$D$1:$F$50,3,TRUE)</f>
        <v>Data Engineer</v>
      </c>
      <c r="F4" t="s">
        <v>22</v>
      </c>
      <c r="G4">
        <v>109024</v>
      </c>
      <c r="H4" t="s">
        <v>24</v>
      </c>
      <c r="I4">
        <v>50</v>
      </c>
      <c r="J4" t="s">
        <v>24</v>
      </c>
      <c r="K4" t="str">
        <f>VLOOKUP(J4,CountryName!$B:$C,2,TRUE)</f>
        <v>Europe</v>
      </c>
      <c r="L4" t="s">
        <v>153</v>
      </c>
    </row>
    <row r="5" spans="1:12" x14ac:dyDescent="0.2">
      <c r="A5" s="1">
        <v>2020</v>
      </c>
      <c r="B5" t="str">
        <f>VLOOKUP(C5,References!$A$5:$B$8,2,TRUE)</f>
        <v>Mid level</v>
      </c>
      <c r="C5" t="s">
        <v>11</v>
      </c>
      <c r="D5" t="s">
        <v>147</v>
      </c>
      <c r="E5" t="str">
        <f>VLOOKUP(F5,References!$D$1:$F$50,3,TRUE)</f>
        <v>Data Analyst</v>
      </c>
      <c r="F5" t="s">
        <v>26</v>
      </c>
      <c r="G5">
        <v>20000</v>
      </c>
      <c r="H5" t="s">
        <v>27</v>
      </c>
      <c r="I5">
        <v>0</v>
      </c>
      <c r="J5" t="s">
        <v>27</v>
      </c>
      <c r="K5" t="str">
        <f>VLOOKUP(J5,CountryName!$B:$C,2,TRUE)</f>
        <v>North America</v>
      </c>
      <c r="L5" t="s">
        <v>152</v>
      </c>
    </row>
    <row r="6" spans="1:12" x14ac:dyDescent="0.2">
      <c r="A6" s="1">
        <v>2020</v>
      </c>
      <c r="B6" t="str">
        <f>VLOOKUP(C6,References!$A$5:$B$8,2,TRUE)</f>
        <v>Senior Level</v>
      </c>
      <c r="C6" t="s">
        <v>17</v>
      </c>
      <c r="D6" t="s">
        <v>147</v>
      </c>
      <c r="E6" t="str">
        <f>VLOOKUP(F6,References!$D$1:$F$50,3,TRUE)</f>
        <v>Machine Learning</v>
      </c>
      <c r="F6" t="s">
        <v>28</v>
      </c>
      <c r="G6">
        <v>150000</v>
      </c>
      <c r="H6" t="s">
        <v>29</v>
      </c>
      <c r="I6">
        <v>50</v>
      </c>
      <c r="J6" t="s">
        <v>29</v>
      </c>
      <c r="K6" t="str">
        <f>VLOOKUP(J6,CountryName!$B:$C,2,TRUE)</f>
        <v>North America</v>
      </c>
      <c r="L6" t="s">
        <v>151</v>
      </c>
    </row>
    <row r="7" spans="1:12" x14ac:dyDescent="0.2">
      <c r="A7" s="1">
        <v>2020</v>
      </c>
      <c r="B7" t="str">
        <f>VLOOKUP(C7,References!$A$5:$B$8,2,TRUE)</f>
        <v>Entry Level</v>
      </c>
      <c r="C7" t="s">
        <v>30</v>
      </c>
      <c r="D7" t="s">
        <v>147</v>
      </c>
      <c r="E7" t="str">
        <f>VLOOKUP(F7,References!$D$1:$F$50,3,TRUE)</f>
        <v>Data Analyst</v>
      </c>
      <c r="F7" t="s">
        <v>31</v>
      </c>
      <c r="G7">
        <v>72000</v>
      </c>
      <c r="H7" t="s">
        <v>29</v>
      </c>
      <c r="I7">
        <v>100</v>
      </c>
      <c r="J7" t="s">
        <v>29</v>
      </c>
      <c r="K7" t="str">
        <f>VLOOKUP(J7,CountryName!$B:$C,2,TRUE)</f>
        <v>North America</v>
      </c>
      <c r="L7" t="s">
        <v>151</v>
      </c>
    </row>
    <row r="8" spans="1:12" x14ac:dyDescent="0.2">
      <c r="A8" s="1">
        <v>2020</v>
      </c>
      <c r="B8" t="str">
        <f>VLOOKUP(C8,References!$A$5:$B$8,2,TRUE)</f>
        <v>Senior Level</v>
      </c>
      <c r="C8" t="s">
        <v>17</v>
      </c>
      <c r="D8" t="s">
        <v>147</v>
      </c>
      <c r="E8" t="str">
        <f>VLOOKUP(F8,References!$D$1:$F$50,3,TRUE)</f>
        <v>Manager</v>
      </c>
      <c r="F8" t="s">
        <v>32</v>
      </c>
      <c r="G8">
        <v>190000</v>
      </c>
      <c r="H8" t="s">
        <v>29</v>
      </c>
      <c r="I8">
        <v>100</v>
      </c>
      <c r="J8" t="s">
        <v>29</v>
      </c>
      <c r="K8" t="str">
        <f>VLOOKUP(J8,CountryName!$B:$C,2,TRUE)</f>
        <v>North America</v>
      </c>
      <c r="L8" t="s">
        <v>152</v>
      </c>
    </row>
    <row r="9" spans="1:12" x14ac:dyDescent="0.2">
      <c r="A9" s="1">
        <v>2020</v>
      </c>
      <c r="B9" t="str">
        <f>VLOOKUP(C9,References!$A$5:$B$8,2,TRUE)</f>
        <v>Mid level</v>
      </c>
      <c r="C9" t="s">
        <v>11</v>
      </c>
      <c r="D9" t="s">
        <v>147</v>
      </c>
      <c r="E9" t="str">
        <f>VLOOKUP(F9,References!$D$1:$F$50,3,TRUE)</f>
        <v>Data Scientist</v>
      </c>
      <c r="F9" t="s">
        <v>13</v>
      </c>
      <c r="G9">
        <v>35735</v>
      </c>
      <c r="H9" t="s">
        <v>34</v>
      </c>
      <c r="I9">
        <v>50</v>
      </c>
      <c r="J9" t="s">
        <v>34</v>
      </c>
      <c r="K9" t="str">
        <f>VLOOKUP(J9,CountryName!$B:$C,2,TRUE)</f>
        <v>Europe</v>
      </c>
      <c r="L9" t="s">
        <v>151</v>
      </c>
    </row>
    <row r="10" spans="1:12" x14ac:dyDescent="0.2">
      <c r="A10" s="1">
        <v>2020</v>
      </c>
      <c r="B10" t="str">
        <f>VLOOKUP(C10,References!$A$5:$B$8,2,TRUE)</f>
        <v>Mid level</v>
      </c>
      <c r="C10" t="s">
        <v>11</v>
      </c>
      <c r="D10" t="s">
        <v>147</v>
      </c>
      <c r="E10" t="str">
        <f>VLOOKUP(F10,References!$D$1:$F$50,3,TRUE)</f>
        <v>Data Analyst</v>
      </c>
      <c r="F10" t="s">
        <v>35</v>
      </c>
      <c r="G10">
        <v>135000</v>
      </c>
      <c r="H10" t="s">
        <v>29</v>
      </c>
      <c r="I10">
        <v>100</v>
      </c>
      <c r="J10" t="s">
        <v>29</v>
      </c>
      <c r="K10" t="str">
        <f>VLOOKUP(J10,CountryName!$B:$C,2,TRUE)</f>
        <v>North America</v>
      </c>
      <c r="L10" t="s">
        <v>151</v>
      </c>
    </row>
    <row r="11" spans="1:12" x14ac:dyDescent="0.2">
      <c r="A11" s="1">
        <v>2020</v>
      </c>
      <c r="B11" t="str">
        <f>VLOOKUP(C11,References!$A$5:$B$8,2,TRUE)</f>
        <v>Senior Level</v>
      </c>
      <c r="C11" t="s">
        <v>17</v>
      </c>
      <c r="D11" t="s">
        <v>147</v>
      </c>
      <c r="E11" t="str">
        <f>VLOOKUP(F11,References!$D$1:$F$50,3,TRUE)</f>
        <v>Manager</v>
      </c>
      <c r="F11" t="s">
        <v>36</v>
      </c>
      <c r="G11">
        <v>125000</v>
      </c>
      <c r="H11" t="s">
        <v>37</v>
      </c>
      <c r="I11">
        <v>50</v>
      </c>
      <c r="J11" t="s">
        <v>37</v>
      </c>
      <c r="K11" t="str">
        <f>VLOOKUP(J11,CountryName!$B:$C,2,TRUE)</f>
        <v>Oceania</v>
      </c>
      <c r="L11" t="s">
        <v>152</v>
      </c>
    </row>
    <row r="12" spans="1:12" x14ac:dyDescent="0.2">
      <c r="A12" s="1">
        <v>2020</v>
      </c>
      <c r="B12" t="str">
        <f>VLOOKUP(C12,References!$A$5:$B$8,2,TRUE)</f>
        <v>Entry Level</v>
      </c>
      <c r="C12" t="s">
        <v>30</v>
      </c>
      <c r="D12" t="s">
        <v>147</v>
      </c>
      <c r="E12" t="str">
        <f>VLOOKUP(F12,References!$D$1:$F$50,3,TRUE)</f>
        <v>Data Scientist</v>
      </c>
      <c r="F12" t="s">
        <v>13</v>
      </c>
      <c r="G12">
        <v>51321</v>
      </c>
      <c r="H12" t="s">
        <v>38</v>
      </c>
      <c r="I12">
        <v>0</v>
      </c>
      <c r="J12" t="s">
        <v>38</v>
      </c>
      <c r="K12" t="str">
        <f>VLOOKUP(J12,CountryName!$B:$C,2,TRUE)</f>
        <v>Europe</v>
      </c>
      <c r="L12" t="s">
        <v>152</v>
      </c>
    </row>
    <row r="13" spans="1:12" x14ac:dyDescent="0.2">
      <c r="A13" s="1">
        <v>2020</v>
      </c>
      <c r="B13" t="str">
        <f>VLOOKUP(C13,References!$A$5:$B$8,2,TRUE)</f>
        <v>Mid level</v>
      </c>
      <c r="C13" t="s">
        <v>11</v>
      </c>
      <c r="D13" t="s">
        <v>147</v>
      </c>
      <c r="E13" t="str">
        <f>VLOOKUP(F13,References!$D$1:$F$50,3,TRUE)</f>
        <v>Data Scientist</v>
      </c>
      <c r="F13" t="s">
        <v>13</v>
      </c>
      <c r="G13">
        <v>40481</v>
      </c>
      <c r="H13" t="s">
        <v>40</v>
      </c>
      <c r="I13">
        <v>0</v>
      </c>
      <c r="J13" t="s">
        <v>40</v>
      </c>
      <c r="K13" t="str">
        <f>VLOOKUP(J13,CountryName!$B:$C,2,TRUE)</f>
        <v>Asia</v>
      </c>
      <c r="L13" t="s">
        <v>151</v>
      </c>
    </row>
    <row r="14" spans="1:12" x14ac:dyDescent="0.2">
      <c r="A14" s="1">
        <v>2020</v>
      </c>
      <c r="B14" t="str">
        <f>VLOOKUP(C14,References!$A$5:$B$8,2,TRUE)</f>
        <v>Entry Level</v>
      </c>
      <c r="C14" t="s">
        <v>30</v>
      </c>
      <c r="D14" t="s">
        <v>147</v>
      </c>
      <c r="E14" t="str">
        <f>VLOOKUP(F14,References!$D$1:$F$50,3,TRUE)</f>
        <v>Data Scientist</v>
      </c>
      <c r="F14" t="s">
        <v>13</v>
      </c>
      <c r="G14">
        <v>39916</v>
      </c>
      <c r="H14" t="s">
        <v>38</v>
      </c>
      <c r="I14">
        <v>0</v>
      </c>
      <c r="J14" t="s">
        <v>38</v>
      </c>
      <c r="K14" t="str">
        <f>VLOOKUP(J14,CountryName!$B:$C,2,TRUE)</f>
        <v>Europe</v>
      </c>
      <c r="L14" t="s">
        <v>153</v>
      </c>
    </row>
    <row r="15" spans="1:12" x14ac:dyDescent="0.2">
      <c r="A15" s="1">
        <v>2020</v>
      </c>
      <c r="B15" t="str">
        <f>VLOOKUP(C15,References!$A$5:$B$8,2,TRUE)</f>
        <v>Mid level</v>
      </c>
      <c r="C15" t="s">
        <v>11</v>
      </c>
      <c r="D15" t="s">
        <v>147</v>
      </c>
      <c r="E15" t="str">
        <f>VLOOKUP(F15,References!$D$1:$F$50,3,TRUE)</f>
        <v>Manager</v>
      </c>
      <c r="F15" t="s">
        <v>41</v>
      </c>
      <c r="G15">
        <v>87000</v>
      </c>
      <c r="H15" t="s">
        <v>29</v>
      </c>
      <c r="I15">
        <v>100</v>
      </c>
      <c r="J15" t="s">
        <v>29</v>
      </c>
      <c r="K15" t="str">
        <f>VLOOKUP(J15,CountryName!$B:$C,2,TRUE)</f>
        <v>North America</v>
      </c>
      <c r="L15" t="s">
        <v>151</v>
      </c>
    </row>
    <row r="16" spans="1:12" x14ac:dyDescent="0.2">
      <c r="A16" s="1">
        <v>2020</v>
      </c>
      <c r="B16" t="str">
        <f>VLOOKUP(C16,References!$A$5:$B$8,2,TRUE)</f>
        <v>Mid level</v>
      </c>
      <c r="C16" t="s">
        <v>11</v>
      </c>
      <c r="D16" t="s">
        <v>147</v>
      </c>
      <c r="E16" t="str">
        <f>VLOOKUP(F16,References!$D$1:$F$50,3,TRUE)</f>
        <v>Data Analyst</v>
      </c>
      <c r="F16" t="s">
        <v>31</v>
      </c>
      <c r="G16">
        <v>85000</v>
      </c>
      <c r="H16" t="s">
        <v>29</v>
      </c>
      <c r="I16">
        <v>100</v>
      </c>
      <c r="J16" t="s">
        <v>29</v>
      </c>
      <c r="K16" t="str">
        <f>VLOOKUP(J16,CountryName!$B:$C,2,TRUE)</f>
        <v>North America</v>
      </c>
      <c r="L16" t="s">
        <v>151</v>
      </c>
    </row>
    <row r="17" spans="1:12" x14ac:dyDescent="0.2">
      <c r="A17" s="1">
        <v>2020</v>
      </c>
      <c r="B17" t="str">
        <f>VLOOKUP(C17,References!$A$5:$B$8,2,TRUE)</f>
        <v>Mid level</v>
      </c>
      <c r="C17" t="s">
        <v>11</v>
      </c>
      <c r="D17" t="s">
        <v>147</v>
      </c>
      <c r="E17" t="str">
        <f>VLOOKUP(F17,References!$D$1:$F$50,3,TRUE)</f>
        <v>Data Analyst</v>
      </c>
      <c r="F17" t="s">
        <v>31</v>
      </c>
      <c r="G17">
        <v>8000</v>
      </c>
      <c r="H17" t="s">
        <v>42</v>
      </c>
      <c r="I17">
        <v>50</v>
      </c>
      <c r="J17" t="s">
        <v>42</v>
      </c>
      <c r="K17" t="str">
        <f>VLOOKUP(J17,CountryName!$B:$C,2,TRUE)</f>
        <v>Asia</v>
      </c>
      <c r="L17" t="s">
        <v>151</v>
      </c>
    </row>
    <row r="18" spans="1:12" x14ac:dyDescent="0.2">
      <c r="A18" s="1">
        <v>2020</v>
      </c>
      <c r="B18" t="str">
        <f>VLOOKUP(C18,References!$A$5:$B$8,2,TRUE)</f>
        <v>Entry Level</v>
      </c>
      <c r="C18" t="s">
        <v>30</v>
      </c>
      <c r="D18" t="s">
        <v>147</v>
      </c>
      <c r="E18" t="str">
        <f>VLOOKUP(F18,References!$D$1:$F$50,3,TRUE)</f>
        <v>Data Engineer</v>
      </c>
      <c r="F18" t="s">
        <v>43</v>
      </c>
      <c r="G18">
        <v>41689</v>
      </c>
      <c r="H18" t="s">
        <v>20</v>
      </c>
      <c r="I18">
        <v>100</v>
      </c>
      <c r="J18" t="s">
        <v>20</v>
      </c>
      <c r="K18" t="str">
        <f>VLOOKUP(J18,CountryName!$B:$C,2,TRUE)</f>
        <v>Asia</v>
      </c>
      <c r="L18" t="s">
        <v>152</v>
      </c>
    </row>
    <row r="19" spans="1:12" x14ac:dyDescent="0.2">
      <c r="A19" s="1">
        <v>2020</v>
      </c>
      <c r="B19" t="str">
        <f>VLOOKUP(C19,References!$A$5:$B$8,2,TRUE)</f>
        <v>Senior Level</v>
      </c>
      <c r="C19" t="s">
        <v>17</v>
      </c>
      <c r="D19" t="s">
        <v>147</v>
      </c>
      <c r="E19" t="str">
        <f>VLOOKUP(F19,References!$D$1:$F$50,3,TRUE)</f>
        <v>Data Engineer</v>
      </c>
      <c r="F19" t="s">
        <v>22</v>
      </c>
      <c r="G19">
        <v>114047</v>
      </c>
      <c r="H19" t="s">
        <v>45</v>
      </c>
      <c r="I19">
        <v>100</v>
      </c>
      <c r="J19" t="s">
        <v>24</v>
      </c>
      <c r="K19" t="str">
        <f>VLOOKUP(J19,CountryName!$B:$C,2,TRUE)</f>
        <v>Europe</v>
      </c>
      <c r="L19" t="s">
        <v>152</v>
      </c>
    </row>
    <row r="20" spans="1:12" x14ac:dyDescent="0.2">
      <c r="A20" s="1">
        <v>2020</v>
      </c>
      <c r="B20" t="str">
        <f>VLOOKUP(C20,References!$A$5:$B$8,2,TRUE)</f>
        <v>Entry Level</v>
      </c>
      <c r="C20" t="s">
        <v>30</v>
      </c>
      <c r="D20" t="s">
        <v>147</v>
      </c>
      <c r="E20" t="str">
        <f>VLOOKUP(F20,References!$D$1:$F$50,3,TRUE)</f>
        <v>Data Analyst</v>
      </c>
      <c r="F20" t="s">
        <v>46</v>
      </c>
      <c r="G20">
        <v>5707</v>
      </c>
      <c r="H20" t="s">
        <v>40</v>
      </c>
      <c r="I20">
        <v>50</v>
      </c>
      <c r="J20" t="s">
        <v>40</v>
      </c>
      <c r="K20" t="str">
        <f>VLOOKUP(J20,CountryName!$B:$C,2,TRUE)</f>
        <v>Asia</v>
      </c>
      <c r="L20" t="s">
        <v>153</v>
      </c>
    </row>
    <row r="21" spans="1:12" x14ac:dyDescent="0.2">
      <c r="A21" s="1">
        <v>2020</v>
      </c>
      <c r="B21" t="str">
        <f>VLOOKUP(C21,References!$A$5:$B$8,2,TRUE)</f>
        <v>Mid level</v>
      </c>
      <c r="C21" t="s">
        <v>11</v>
      </c>
      <c r="D21" t="s">
        <v>147</v>
      </c>
      <c r="E21" t="str">
        <f>VLOOKUP(F21,References!$D$1:$F$50,3,TRUE)</f>
        <v>Manager</v>
      </c>
      <c r="F21" t="s">
        <v>36</v>
      </c>
      <c r="G21">
        <v>56000</v>
      </c>
      <c r="H21" t="s">
        <v>47</v>
      </c>
      <c r="I21">
        <v>100</v>
      </c>
      <c r="J21" t="s">
        <v>29</v>
      </c>
      <c r="K21" t="str">
        <f>VLOOKUP(J21,CountryName!$B:$C,2,TRUE)</f>
        <v>North America</v>
      </c>
      <c r="L21" t="s">
        <v>153</v>
      </c>
    </row>
    <row r="22" spans="1:12" x14ac:dyDescent="0.2">
      <c r="A22" s="1">
        <v>2020</v>
      </c>
      <c r="B22" t="str">
        <f>VLOOKUP(C22,References!$A$5:$B$8,2,TRUE)</f>
        <v>Mid level</v>
      </c>
      <c r="C22" t="s">
        <v>11</v>
      </c>
      <c r="D22" t="s">
        <v>147</v>
      </c>
      <c r="E22" t="str">
        <f>VLOOKUP(F22,References!$D$1:$F$50,3,TRUE)</f>
        <v>Machine Learning</v>
      </c>
      <c r="F22" t="s">
        <v>28</v>
      </c>
      <c r="G22">
        <v>43331</v>
      </c>
      <c r="H22" t="s">
        <v>49</v>
      </c>
      <c r="I22">
        <v>0</v>
      </c>
      <c r="J22" t="s">
        <v>49</v>
      </c>
      <c r="K22" t="str">
        <f>VLOOKUP(J22,CountryName!$B:$C,2,TRUE)</f>
        <v>Asia</v>
      </c>
      <c r="L22" t="s">
        <v>153</v>
      </c>
    </row>
    <row r="23" spans="1:12" x14ac:dyDescent="0.2">
      <c r="A23" s="1">
        <v>2020</v>
      </c>
      <c r="B23" t="str">
        <f>VLOOKUP(C23,References!$A$5:$B$8,2,TRUE)</f>
        <v>Mid level</v>
      </c>
      <c r="C23" t="s">
        <v>11</v>
      </c>
      <c r="D23" t="s">
        <v>147</v>
      </c>
      <c r="E23" t="str">
        <f>VLOOKUP(F23,References!$D$1:$F$50,3,TRUE)</f>
        <v>Data Analyst</v>
      </c>
      <c r="F23" t="s">
        <v>26</v>
      </c>
      <c r="G23">
        <v>6072</v>
      </c>
      <c r="H23" t="s">
        <v>40</v>
      </c>
      <c r="I23">
        <v>100</v>
      </c>
      <c r="J23" t="s">
        <v>40</v>
      </c>
      <c r="K23" t="str">
        <f>VLOOKUP(J23,CountryName!$B:$C,2,TRUE)</f>
        <v>Asia</v>
      </c>
      <c r="L23" t="s">
        <v>151</v>
      </c>
    </row>
    <row r="24" spans="1:12" x14ac:dyDescent="0.2">
      <c r="A24" s="1">
        <v>2020</v>
      </c>
      <c r="B24" t="str">
        <f>VLOOKUP(C24,References!$A$5:$B$8,2,TRUE)</f>
        <v>Senior Level</v>
      </c>
      <c r="C24" t="s">
        <v>17</v>
      </c>
      <c r="D24" t="s">
        <v>147</v>
      </c>
      <c r="E24" t="str">
        <f>VLOOKUP(F24,References!$D$1:$F$50,3,TRUE)</f>
        <v>Data Engineer</v>
      </c>
      <c r="F24" t="s">
        <v>43</v>
      </c>
      <c r="G24">
        <v>47899</v>
      </c>
      <c r="H24" t="s">
        <v>50</v>
      </c>
      <c r="I24">
        <v>50</v>
      </c>
      <c r="J24" t="s">
        <v>50</v>
      </c>
      <c r="K24" t="str">
        <f>VLOOKUP(J24,CountryName!$B:$C,2,TRUE)</f>
        <v>Europe</v>
      </c>
      <c r="L24" t="s">
        <v>151</v>
      </c>
    </row>
    <row r="25" spans="1:12" x14ac:dyDescent="0.2">
      <c r="A25" s="1">
        <v>2020</v>
      </c>
      <c r="B25" t="str">
        <f>VLOOKUP(C25,References!$A$5:$B$8,2,TRUE)</f>
        <v>Mid level</v>
      </c>
      <c r="C25" t="s">
        <v>11</v>
      </c>
      <c r="D25" t="s">
        <v>147</v>
      </c>
      <c r="E25" t="str">
        <f>VLOOKUP(F25,References!$D$1:$F$50,3,TRUE)</f>
        <v>Data Analyst</v>
      </c>
      <c r="F25" t="s">
        <v>51</v>
      </c>
      <c r="G25">
        <v>98000</v>
      </c>
      <c r="H25" t="s">
        <v>29</v>
      </c>
      <c r="I25">
        <v>0</v>
      </c>
      <c r="J25" t="s">
        <v>29</v>
      </c>
      <c r="K25" t="str">
        <f>VLOOKUP(J25,CountryName!$B:$C,2,TRUE)</f>
        <v>North America</v>
      </c>
      <c r="L25" t="s">
        <v>153</v>
      </c>
    </row>
    <row r="26" spans="1:12" x14ac:dyDescent="0.2">
      <c r="A26" s="1">
        <v>2020</v>
      </c>
      <c r="B26" t="str">
        <f>VLOOKUP(C26,References!$A$5:$B$8,2,TRUE)</f>
        <v>Mid level</v>
      </c>
      <c r="C26" t="s">
        <v>11</v>
      </c>
      <c r="D26" t="s">
        <v>147</v>
      </c>
      <c r="E26" t="str">
        <f>VLOOKUP(F26,References!$D$1:$F$50,3,TRUE)</f>
        <v>Manager</v>
      </c>
      <c r="F26" t="s">
        <v>32</v>
      </c>
      <c r="G26">
        <v>115000</v>
      </c>
      <c r="H26" t="s">
        <v>52</v>
      </c>
      <c r="I26">
        <v>0</v>
      </c>
      <c r="J26" t="s">
        <v>52</v>
      </c>
      <c r="K26" t="str">
        <f>VLOOKUP(J26,CountryName!$B:$C,2,TRUE)</f>
        <v>Asia</v>
      </c>
      <c r="L26" t="s">
        <v>151</v>
      </c>
    </row>
    <row r="27" spans="1:12" x14ac:dyDescent="0.2">
      <c r="A27" s="1">
        <v>2020</v>
      </c>
      <c r="B27" t="str">
        <f>VLOOKUP(C27,References!$A$5:$B$8,2,TRUE)</f>
        <v>Expert Level</v>
      </c>
      <c r="C27" t="s">
        <v>53</v>
      </c>
      <c r="D27" t="s">
        <v>147</v>
      </c>
      <c r="E27" t="str">
        <f>VLOOKUP(F27,References!$D$1:$F$50,3,TRUE)</f>
        <v>Manager</v>
      </c>
      <c r="F27" t="s">
        <v>54</v>
      </c>
      <c r="G27">
        <v>325000</v>
      </c>
      <c r="H27" t="s">
        <v>29</v>
      </c>
      <c r="I27">
        <v>100</v>
      </c>
      <c r="J27" t="s">
        <v>29</v>
      </c>
      <c r="K27" t="str">
        <f>VLOOKUP(J27,CountryName!$B:$C,2,TRUE)</f>
        <v>North America</v>
      </c>
      <c r="L27" t="s">
        <v>151</v>
      </c>
    </row>
    <row r="28" spans="1:12" x14ac:dyDescent="0.2">
      <c r="A28" s="1">
        <v>2020</v>
      </c>
      <c r="B28" t="str">
        <f>VLOOKUP(C28,References!$A$5:$B$8,2,TRUE)</f>
        <v>Entry Level</v>
      </c>
      <c r="C28" t="s">
        <v>30</v>
      </c>
      <c r="D28" t="s">
        <v>147</v>
      </c>
      <c r="E28" t="str">
        <f>VLOOKUP(F28,References!$D$1:$F$50,3,TRUE)</f>
        <v>Scientist</v>
      </c>
      <c r="F28" t="s">
        <v>55</v>
      </c>
      <c r="G28">
        <v>42000</v>
      </c>
      <c r="H28" t="s">
        <v>56</v>
      </c>
      <c r="I28">
        <v>50</v>
      </c>
      <c r="J28" t="s">
        <v>56</v>
      </c>
      <c r="K28" t="str">
        <f>VLOOKUP(J28,CountryName!$B:$C,2,TRUE)</f>
        <v>Europe</v>
      </c>
      <c r="L28" t="s">
        <v>151</v>
      </c>
    </row>
    <row r="29" spans="1:12" x14ac:dyDescent="0.2">
      <c r="A29" s="1">
        <v>2020</v>
      </c>
      <c r="B29" t="str">
        <f>VLOOKUP(C29,References!$A$5:$B$8,2,TRUE)</f>
        <v>Senior Level</v>
      </c>
      <c r="C29" t="s">
        <v>17</v>
      </c>
      <c r="D29" t="s">
        <v>147</v>
      </c>
      <c r="E29" t="str">
        <f>VLOOKUP(F29,References!$D$1:$F$50,3,TRUE)</f>
        <v>Data Engineer</v>
      </c>
      <c r="F29" t="s">
        <v>43</v>
      </c>
      <c r="G29">
        <v>33511</v>
      </c>
      <c r="H29" t="s">
        <v>58</v>
      </c>
      <c r="I29">
        <v>0</v>
      </c>
      <c r="J29" t="s">
        <v>58</v>
      </c>
      <c r="K29" t="str">
        <f>VLOOKUP(J29,CountryName!$B:$C,2,TRUE)</f>
        <v>North America</v>
      </c>
      <c r="L29" t="s">
        <v>152</v>
      </c>
    </row>
    <row r="30" spans="1:12" x14ac:dyDescent="0.2">
      <c r="A30" s="1">
        <v>2020</v>
      </c>
      <c r="B30" t="str">
        <f>VLOOKUP(C30,References!$A$5:$B$8,2,TRUE)</f>
        <v>Entry Level</v>
      </c>
      <c r="C30" t="s">
        <v>30</v>
      </c>
      <c r="D30" t="s">
        <v>148</v>
      </c>
      <c r="E30" t="str">
        <f>VLOOKUP(F30,References!$D$1:$F$50,3,TRUE)</f>
        <v>Data Analyst</v>
      </c>
      <c r="F30" t="s">
        <v>35</v>
      </c>
      <c r="G30">
        <v>100000</v>
      </c>
      <c r="H30" t="s">
        <v>29</v>
      </c>
      <c r="I30">
        <v>100</v>
      </c>
      <c r="J30" t="s">
        <v>29</v>
      </c>
      <c r="K30" t="str">
        <f>VLOOKUP(J30,CountryName!$B:$C,2,TRUE)</f>
        <v>North America</v>
      </c>
      <c r="L30" t="s">
        <v>151</v>
      </c>
    </row>
    <row r="31" spans="1:12" x14ac:dyDescent="0.2">
      <c r="A31" s="1">
        <v>2020</v>
      </c>
      <c r="B31" t="str">
        <f>VLOOKUP(C31,References!$A$5:$B$8,2,TRUE)</f>
        <v>Senior Level</v>
      </c>
      <c r="C31" t="s">
        <v>17</v>
      </c>
      <c r="D31" t="s">
        <v>147</v>
      </c>
      <c r="E31" t="str">
        <f>VLOOKUP(F31,References!$D$1:$F$50,3,TRUE)</f>
        <v>Manager</v>
      </c>
      <c r="F31" t="s">
        <v>60</v>
      </c>
      <c r="G31">
        <v>117104</v>
      </c>
      <c r="H31" t="s">
        <v>62</v>
      </c>
      <c r="I31">
        <v>50</v>
      </c>
      <c r="J31" t="s">
        <v>62</v>
      </c>
      <c r="K31" t="str">
        <f>VLOOKUP(J31,CountryName!$B:$C,2,TRUE)</f>
        <v>North America</v>
      </c>
      <c r="L31" t="s">
        <v>151</v>
      </c>
    </row>
    <row r="32" spans="1:12" x14ac:dyDescent="0.2">
      <c r="A32" s="1">
        <v>2020</v>
      </c>
      <c r="B32" t="str">
        <f>VLOOKUP(C32,References!$A$5:$B$8,2,TRUE)</f>
        <v>Mid level</v>
      </c>
      <c r="C32" t="s">
        <v>11</v>
      </c>
      <c r="D32" t="s">
        <v>147</v>
      </c>
      <c r="E32" t="str">
        <f>VLOOKUP(F32,References!$D$1:$F$50,3,TRUE)</f>
        <v>Manager</v>
      </c>
      <c r="F32" t="s">
        <v>63</v>
      </c>
      <c r="G32">
        <v>59303</v>
      </c>
      <c r="H32" t="s">
        <v>15</v>
      </c>
      <c r="I32">
        <v>100</v>
      </c>
      <c r="J32" t="s">
        <v>15</v>
      </c>
      <c r="K32" t="str">
        <f>VLOOKUP(J32,CountryName!$B:$C,2,TRUE)</f>
        <v>Europe</v>
      </c>
      <c r="L32" t="s">
        <v>152</v>
      </c>
    </row>
    <row r="33" spans="1:12" x14ac:dyDescent="0.2">
      <c r="A33" s="1">
        <v>2020</v>
      </c>
      <c r="B33" t="str">
        <f>VLOOKUP(C33,References!$A$5:$B$8,2,TRUE)</f>
        <v>Entry Level</v>
      </c>
      <c r="C33" t="s">
        <v>30</v>
      </c>
      <c r="D33" t="s">
        <v>147</v>
      </c>
      <c r="E33" t="str">
        <f>VLOOKUP(F33,References!$D$1:$F$50,3,TRUE)</f>
        <v>Data Engineer</v>
      </c>
      <c r="F33" t="s">
        <v>22</v>
      </c>
      <c r="G33">
        <v>70000</v>
      </c>
      <c r="H33" t="s">
        <v>29</v>
      </c>
      <c r="I33">
        <v>100</v>
      </c>
      <c r="J33" t="s">
        <v>29</v>
      </c>
      <c r="K33" t="str">
        <f>VLOOKUP(J33,CountryName!$B:$C,2,TRUE)</f>
        <v>North America</v>
      </c>
      <c r="L33" t="s">
        <v>151</v>
      </c>
    </row>
    <row r="34" spans="1:12" x14ac:dyDescent="0.2">
      <c r="A34" s="1">
        <v>2020</v>
      </c>
      <c r="B34" t="str">
        <f>VLOOKUP(C34,References!$A$5:$B$8,2,TRUE)</f>
        <v>Senior Level</v>
      </c>
      <c r="C34" t="s">
        <v>17</v>
      </c>
      <c r="D34" t="s">
        <v>147</v>
      </c>
      <c r="E34" t="str">
        <f>VLOOKUP(F34,References!$D$1:$F$50,3,TRUE)</f>
        <v>Data Scientist</v>
      </c>
      <c r="F34" t="s">
        <v>13</v>
      </c>
      <c r="G34">
        <v>68428</v>
      </c>
      <c r="H34" t="s">
        <v>50</v>
      </c>
      <c r="I34">
        <v>100</v>
      </c>
      <c r="J34" t="s">
        <v>29</v>
      </c>
      <c r="K34" t="str">
        <f>VLOOKUP(J34,CountryName!$B:$C,2,TRUE)</f>
        <v>North America</v>
      </c>
      <c r="L34" t="s">
        <v>151</v>
      </c>
    </row>
    <row r="35" spans="1:12" x14ac:dyDescent="0.2">
      <c r="A35" s="1">
        <v>2020</v>
      </c>
      <c r="B35" t="str">
        <f>VLOOKUP(C35,References!$A$5:$B$8,2,TRUE)</f>
        <v>Mid level</v>
      </c>
      <c r="C35" t="s">
        <v>11</v>
      </c>
      <c r="D35" t="s">
        <v>147</v>
      </c>
      <c r="E35" t="str">
        <f>VLOOKUP(F35,References!$D$1:$F$50,3,TRUE)</f>
        <v>Scientist</v>
      </c>
      <c r="F35" t="s">
        <v>55</v>
      </c>
      <c r="G35">
        <v>450000</v>
      </c>
      <c r="H35" t="s">
        <v>29</v>
      </c>
      <c r="I35">
        <v>0</v>
      </c>
      <c r="J35" t="s">
        <v>29</v>
      </c>
      <c r="K35" t="str">
        <f>VLOOKUP(J35,CountryName!$B:$C,2,TRUE)</f>
        <v>North America</v>
      </c>
      <c r="L35" t="s">
        <v>153</v>
      </c>
    </row>
    <row r="36" spans="1:12" x14ac:dyDescent="0.2">
      <c r="A36" s="1">
        <v>2020</v>
      </c>
      <c r="B36" t="str">
        <f>VLOOKUP(C36,References!$A$5:$B$8,2,TRUE)</f>
        <v>Mid level</v>
      </c>
      <c r="C36" t="s">
        <v>11</v>
      </c>
      <c r="D36" t="s">
        <v>147</v>
      </c>
      <c r="E36" t="str">
        <f>VLOOKUP(F36,References!$D$1:$F$50,3,TRUE)</f>
        <v>Data Analyst</v>
      </c>
      <c r="F36" t="s">
        <v>31</v>
      </c>
      <c r="G36">
        <v>46759</v>
      </c>
      <c r="H36" t="s">
        <v>38</v>
      </c>
      <c r="I36">
        <v>50</v>
      </c>
      <c r="J36" t="s">
        <v>38</v>
      </c>
      <c r="K36" t="str">
        <f>VLOOKUP(J36,CountryName!$B:$C,2,TRUE)</f>
        <v>Europe</v>
      </c>
      <c r="L36" t="s">
        <v>151</v>
      </c>
    </row>
    <row r="37" spans="1:12" x14ac:dyDescent="0.2">
      <c r="A37" s="1">
        <v>2020</v>
      </c>
      <c r="B37" t="str">
        <f>VLOOKUP(C37,References!$A$5:$B$8,2,TRUE)</f>
        <v>Mid level</v>
      </c>
      <c r="C37" t="s">
        <v>11</v>
      </c>
      <c r="D37" t="s">
        <v>147</v>
      </c>
      <c r="E37" t="str">
        <f>VLOOKUP(F37,References!$D$1:$F$50,3,TRUE)</f>
        <v>Data Engineer</v>
      </c>
      <c r="F37" t="s">
        <v>43</v>
      </c>
      <c r="G37">
        <v>74130</v>
      </c>
      <c r="H37" t="s">
        <v>64</v>
      </c>
      <c r="I37">
        <v>50</v>
      </c>
      <c r="J37" t="s">
        <v>64</v>
      </c>
      <c r="K37" t="str">
        <f>VLOOKUP(J37,CountryName!$B:$C,2,TRUE)</f>
        <v>Europe</v>
      </c>
      <c r="L37" t="s">
        <v>151</v>
      </c>
    </row>
    <row r="38" spans="1:12" x14ac:dyDescent="0.2">
      <c r="A38" s="1">
        <v>2020</v>
      </c>
      <c r="B38" t="str">
        <f>VLOOKUP(C38,References!$A$5:$B$8,2,TRUE)</f>
        <v>Mid level</v>
      </c>
      <c r="C38" t="s">
        <v>11</v>
      </c>
      <c r="D38" t="s">
        <v>147</v>
      </c>
      <c r="E38" t="str">
        <f>VLOOKUP(F38,References!$D$1:$F$50,3,TRUE)</f>
        <v>Data Analyst</v>
      </c>
      <c r="F38" t="s">
        <v>46</v>
      </c>
      <c r="G38">
        <v>103000</v>
      </c>
      <c r="H38" t="s">
        <v>29</v>
      </c>
      <c r="I38">
        <v>100</v>
      </c>
      <c r="J38" t="s">
        <v>29</v>
      </c>
      <c r="K38" t="str">
        <f>VLOOKUP(J38,CountryName!$B:$C,2,TRUE)</f>
        <v>North America</v>
      </c>
      <c r="L38" t="s">
        <v>151</v>
      </c>
    </row>
    <row r="39" spans="1:12" x14ac:dyDescent="0.2">
      <c r="A39" s="1">
        <v>2020</v>
      </c>
      <c r="B39" t="str">
        <f>VLOOKUP(C39,References!$A$5:$B$8,2,TRUE)</f>
        <v>Entry Level</v>
      </c>
      <c r="C39" t="s">
        <v>30</v>
      </c>
      <c r="D39" t="s">
        <v>147</v>
      </c>
      <c r="E39" t="str">
        <f>VLOOKUP(F39,References!$D$1:$F$50,3,TRUE)</f>
        <v>Machine Learning</v>
      </c>
      <c r="F39" t="s">
        <v>28</v>
      </c>
      <c r="G39">
        <v>250000</v>
      </c>
      <c r="H39" t="s">
        <v>29</v>
      </c>
      <c r="I39">
        <v>50</v>
      </c>
      <c r="J39" t="s">
        <v>29</v>
      </c>
      <c r="K39" t="str">
        <f>VLOOKUP(J39,CountryName!$B:$C,2,TRUE)</f>
        <v>North America</v>
      </c>
      <c r="L39" t="s">
        <v>151</v>
      </c>
    </row>
    <row r="40" spans="1:12" x14ac:dyDescent="0.2">
      <c r="A40" s="1">
        <v>2020</v>
      </c>
      <c r="B40" t="str">
        <f>VLOOKUP(C40,References!$A$5:$B$8,2,TRUE)</f>
        <v>Entry Level</v>
      </c>
      <c r="C40" t="s">
        <v>30</v>
      </c>
      <c r="D40" t="s">
        <v>147</v>
      </c>
      <c r="E40" t="str">
        <f>VLOOKUP(F40,References!$D$1:$F$50,3,TRUE)</f>
        <v>Data Analyst</v>
      </c>
      <c r="F40" t="s">
        <v>31</v>
      </c>
      <c r="G40">
        <v>10000</v>
      </c>
      <c r="H40" t="s">
        <v>65</v>
      </c>
      <c r="I40">
        <v>100</v>
      </c>
      <c r="J40" t="s">
        <v>65</v>
      </c>
      <c r="K40" t="str">
        <f>VLOOKUP(J40,CountryName!$B:$C,2,TRUE)</f>
        <v>Africa</v>
      </c>
      <c r="L40" t="s">
        <v>152</v>
      </c>
    </row>
    <row r="41" spans="1:12" x14ac:dyDescent="0.2">
      <c r="A41" s="1">
        <v>2020</v>
      </c>
      <c r="B41" t="str">
        <f>VLOOKUP(C41,References!$A$5:$B$8,2,TRUE)</f>
        <v>Entry Level</v>
      </c>
      <c r="C41" t="s">
        <v>30</v>
      </c>
      <c r="D41" t="s">
        <v>147</v>
      </c>
      <c r="E41" t="str">
        <f>VLOOKUP(F41,References!$D$1:$F$50,3,TRUE)</f>
        <v>Machine Learning</v>
      </c>
      <c r="F41" t="s">
        <v>28</v>
      </c>
      <c r="G41">
        <v>138000</v>
      </c>
      <c r="H41" t="s">
        <v>29</v>
      </c>
      <c r="I41">
        <v>100</v>
      </c>
      <c r="J41" t="s">
        <v>29</v>
      </c>
      <c r="K41" t="str">
        <f>VLOOKUP(J41,CountryName!$B:$C,2,TRUE)</f>
        <v>North America</v>
      </c>
      <c r="L41" t="s">
        <v>152</v>
      </c>
    </row>
    <row r="42" spans="1:12" x14ac:dyDescent="0.2">
      <c r="A42" s="1">
        <v>2020</v>
      </c>
      <c r="B42" t="str">
        <f>VLOOKUP(C42,References!$A$5:$B$8,2,TRUE)</f>
        <v>Mid level</v>
      </c>
      <c r="C42" t="s">
        <v>11</v>
      </c>
      <c r="D42" t="s">
        <v>147</v>
      </c>
      <c r="E42" t="str">
        <f>VLOOKUP(F42,References!$D$1:$F$50,3,TRUE)</f>
        <v>Data Scientist</v>
      </c>
      <c r="F42" t="s">
        <v>13</v>
      </c>
      <c r="G42">
        <v>45760</v>
      </c>
      <c r="H42" t="s">
        <v>66</v>
      </c>
      <c r="I42">
        <v>100</v>
      </c>
      <c r="J42" t="s">
        <v>29</v>
      </c>
      <c r="K42" t="str">
        <f>VLOOKUP(J42,CountryName!$B:$C,2,TRUE)</f>
        <v>North America</v>
      </c>
      <c r="L42" t="s">
        <v>152</v>
      </c>
    </row>
    <row r="43" spans="1:12" x14ac:dyDescent="0.2">
      <c r="A43" s="1">
        <v>2020</v>
      </c>
      <c r="B43" t="str">
        <f>VLOOKUP(C43,References!$A$5:$B$8,2,TRUE)</f>
        <v>Expert Level</v>
      </c>
      <c r="C43" t="s">
        <v>53</v>
      </c>
      <c r="D43" t="s">
        <v>147</v>
      </c>
      <c r="E43" t="str">
        <f>VLOOKUP(F43,References!$D$1:$F$50,3,TRUE)</f>
        <v>Manager</v>
      </c>
      <c r="F43" t="s">
        <v>63</v>
      </c>
      <c r="G43">
        <v>79833</v>
      </c>
      <c r="H43" t="s">
        <v>67</v>
      </c>
      <c r="I43">
        <v>50</v>
      </c>
      <c r="J43" t="s">
        <v>67</v>
      </c>
      <c r="K43" t="str">
        <f>VLOOKUP(J43,CountryName!$B:$C,2,TRUE)</f>
        <v>Europe</v>
      </c>
      <c r="L43" t="s">
        <v>151</v>
      </c>
    </row>
    <row r="44" spans="1:12" x14ac:dyDescent="0.2">
      <c r="A44" s="1">
        <v>2020</v>
      </c>
      <c r="B44" t="str">
        <f>VLOOKUP(C44,References!$A$5:$B$8,2,TRUE)</f>
        <v>Mid level</v>
      </c>
      <c r="C44" t="s">
        <v>11</v>
      </c>
      <c r="D44" t="s">
        <v>147</v>
      </c>
      <c r="E44" t="str">
        <f>VLOOKUP(F44,References!$D$1:$F$50,3,TRUE)</f>
        <v>Machine Learning</v>
      </c>
      <c r="F44" t="s">
        <v>68</v>
      </c>
      <c r="G44">
        <v>50180</v>
      </c>
      <c r="H44" t="s">
        <v>47</v>
      </c>
      <c r="I44">
        <v>0</v>
      </c>
      <c r="J44" t="s">
        <v>47</v>
      </c>
      <c r="K44" t="str">
        <f>VLOOKUP(J44,CountryName!$B:$C,2,TRUE)</f>
        <v>Europe</v>
      </c>
      <c r="L44" t="s">
        <v>153</v>
      </c>
    </row>
    <row r="45" spans="1:12" x14ac:dyDescent="0.2">
      <c r="A45" s="1">
        <v>2020</v>
      </c>
      <c r="B45" t="str">
        <f>VLOOKUP(C45,References!$A$5:$B$8,2,TRUE)</f>
        <v>Mid level</v>
      </c>
      <c r="C45" t="s">
        <v>11</v>
      </c>
      <c r="D45" t="s">
        <v>147</v>
      </c>
      <c r="E45" t="str">
        <f>VLOOKUP(F45,References!$D$1:$F$50,3,TRUE)</f>
        <v>Data Engineer</v>
      </c>
      <c r="F45" t="s">
        <v>43</v>
      </c>
      <c r="G45">
        <v>106000</v>
      </c>
      <c r="H45" t="s">
        <v>29</v>
      </c>
      <c r="I45">
        <v>100</v>
      </c>
      <c r="J45" t="s">
        <v>29</v>
      </c>
      <c r="K45" t="str">
        <f>VLOOKUP(J45,CountryName!$B:$C,2,TRUE)</f>
        <v>North America</v>
      </c>
      <c r="L45" t="s">
        <v>151</v>
      </c>
    </row>
    <row r="46" spans="1:12" x14ac:dyDescent="0.2">
      <c r="A46" s="1">
        <v>2020</v>
      </c>
      <c r="B46" t="str">
        <f>VLOOKUP(C46,References!$A$5:$B$8,2,TRUE)</f>
        <v>Mid level</v>
      </c>
      <c r="C46" t="s">
        <v>11</v>
      </c>
      <c r="D46" t="s">
        <v>147</v>
      </c>
      <c r="E46" t="str">
        <f>VLOOKUP(F46,References!$D$1:$F$50,3,TRUE)</f>
        <v>Data Engineer</v>
      </c>
      <c r="F46" t="s">
        <v>43</v>
      </c>
      <c r="G46">
        <v>112872</v>
      </c>
      <c r="H46" t="s">
        <v>24</v>
      </c>
      <c r="I46">
        <v>50</v>
      </c>
      <c r="J46" t="s">
        <v>24</v>
      </c>
      <c r="K46" t="str">
        <f>VLOOKUP(J46,CountryName!$B:$C,2,TRUE)</f>
        <v>Europe</v>
      </c>
      <c r="L46" t="s">
        <v>151</v>
      </c>
    </row>
    <row r="47" spans="1:12" x14ac:dyDescent="0.2">
      <c r="A47" s="1">
        <v>2020</v>
      </c>
      <c r="B47" t="str">
        <f>VLOOKUP(C47,References!$A$5:$B$8,2,TRUE)</f>
        <v>Entry Level</v>
      </c>
      <c r="C47" t="s">
        <v>30</v>
      </c>
      <c r="D47" t="s">
        <v>150</v>
      </c>
      <c r="E47" t="str">
        <f>VLOOKUP(F47,References!$D$1:$F$50,3,TRUE)</f>
        <v>Machine Learning</v>
      </c>
      <c r="F47" t="s">
        <v>69</v>
      </c>
      <c r="G47">
        <v>15966</v>
      </c>
      <c r="H47" t="s">
        <v>15</v>
      </c>
      <c r="I47">
        <v>100</v>
      </c>
      <c r="J47" t="s">
        <v>15</v>
      </c>
      <c r="K47" t="str">
        <f>VLOOKUP(J47,CountryName!$B:$C,2,TRUE)</f>
        <v>Europe</v>
      </c>
      <c r="L47" t="s">
        <v>152</v>
      </c>
    </row>
    <row r="48" spans="1:12" x14ac:dyDescent="0.2">
      <c r="A48" s="1">
        <v>2020</v>
      </c>
      <c r="B48" t="str">
        <f>VLOOKUP(C48,References!$A$5:$B$8,2,TRUE)</f>
        <v>Mid level</v>
      </c>
      <c r="C48" t="s">
        <v>11</v>
      </c>
      <c r="D48" t="s">
        <v>147</v>
      </c>
      <c r="E48" t="str">
        <f>VLOOKUP(F48,References!$D$1:$F$50,3,TRUE)</f>
        <v>Data Scientist</v>
      </c>
      <c r="F48" t="s">
        <v>13</v>
      </c>
      <c r="G48">
        <v>76958</v>
      </c>
      <c r="H48" t="s">
        <v>24</v>
      </c>
      <c r="I48">
        <v>100</v>
      </c>
      <c r="J48" t="s">
        <v>24</v>
      </c>
      <c r="K48" t="str">
        <f>VLOOKUP(J48,CountryName!$B:$C,2,TRUE)</f>
        <v>Europe</v>
      </c>
      <c r="L48" t="s">
        <v>152</v>
      </c>
    </row>
    <row r="49" spans="1:12" x14ac:dyDescent="0.2">
      <c r="A49" s="1">
        <v>2020</v>
      </c>
      <c r="B49" t="str">
        <f>VLOOKUP(C49,References!$A$5:$B$8,2,TRUE)</f>
        <v>Senior Level</v>
      </c>
      <c r="C49" t="s">
        <v>17</v>
      </c>
      <c r="D49" t="s">
        <v>147</v>
      </c>
      <c r="E49" t="str">
        <f>VLOOKUP(F49,References!$D$1:$F$50,3,TRUE)</f>
        <v>Data Engineer</v>
      </c>
      <c r="F49" t="s">
        <v>43</v>
      </c>
      <c r="G49">
        <v>188000</v>
      </c>
      <c r="H49" t="s">
        <v>29</v>
      </c>
      <c r="I49">
        <v>100</v>
      </c>
      <c r="J49" t="s">
        <v>29</v>
      </c>
      <c r="K49" t="str">
        <f>VLOOKUP(J49,CountryName!$B:$C,2,TRUE)</f>
        <v>North America</v>
      </c>
      <c r="L49" t="s">
        <v>151</v>
      </c>
    </row>
    <row r="50" spans="1:12" x14ac:dyDescent="0.2">
      <c r="A50" s="1">
        <v>2020</v>
      </c>
      <c r="B50" t="str">
        <f>VLOOKUP(C50,References!$A$5:$B$8,2,TRUE)</f>
        <v>Mid level</v>
      </c>
      <c r="C50" t="s">
        <v>11</v>
      </c>
      <c r="D50" t="s">
        <v>147</v>
      </c>
      <c r="E50" t="str">
        <f>VLOOKUP(F50,References!$D$1:$F$50,3,TRUE)</f>
        <v>Data Scientist</v>
      </c>
      <c r="F50" t="s">
        <v>13</v>
      </c>
      <c r="G50">
        <v>105000</v>
      </c>
      <c r="H50" t="s">
        <v>29</v>
      </c>
      <c r="I50">
        <v>100</v>
      </c>
      <c r="J50" t="s">
        <v>29</v>
      </c>
      <c r="K50" t="str">
        <f>VLOOKUP(J50,CountryName!$B:$C,2,TRUE)</f>
        <v>North America</v>
      </c>
      <c r="L50" t="s">
        <v>151</v>
      </c>
    </row>
    <row r="51" spans="1:12" x14ac:dyDescent="0.2">
      <c r="A51" s="1">
        <v>2020</v>
      </c>
      <c r="B51" t="str">
        <f>VLOOKUP(C51,References!$A$5:$B$8,2,TRUE)</f>
        <v>Mid level</v>
      </c>
      <c r="C51" t="s">
        <v>11</v>
      </c>
      <c r="D51" t="s">
        <v>147</v>
      </c>
      <c r="E51" t="str">
        <f>VLOOKUP(F51,References!$D$1:$F$50,3,TRUE)</f>
        <v>Data Engineer</v>
      </c>
      <c r="F51" t="s">
        <v>43</v>
      </c>
      <c r="G51">
        <v>70139</v>
      </c>
      <c r="H51" t="s">
        <v>38</v>
      </c>
      <c r="I51">
        <v>50</v>
      </c>
      <c r="J51" t="s">
        <v>38</v>
      </c>
      <c r="K51" t="str">
        <f>VLOOKUP(J51,CountryName!$B:$C,2,TRUE)</f>
        <v>Europe</v>
      </c>
      <c r="L51" t="s">
        <v>151</v>
      </c>
    </row>
    <row r="52" spans="1:12" x14ac:dyDescent="0.2">
      <c r="A52" s="1">
        <v>2020</v>
      </c>
      <c r="B52" t="str">
        <f>VLOOKUP(C52,References!$A$5:$B$8,2,TRUE)</f>
        <v>Entry Level</v>
      </c>
      <c r="C52" t="s">
        <v>30</v>
      </c>
      <c r="D52" t="s">
        <v>147</v>
      </c>
      <c r="E52" t="str">
        <f>VLOOKUP(F52,References!$D$1:$F$50,3,TRUE)</f>
        <v>Data Analyst</v>
      </c>
      <c r="F52" t="s">
        <v>31</v>
      </c>
      <c r="G52">
        <v>6072</v>
      </c>
      <c r="H52" t="s">
        <v>40</v>
      </c>
      <c r="I52">
        <v>0</v>
      </c>
      <c r="J52" t="s">
        <v>40</v>
      </c>
      <c r="K52" t="str">
        <f>VLOOKUP(J52,CountryName!$B:$C,2,TRUE)</f>
        <v>Asia</v>
      </c>
      <c r="L52" t="s">
        <v>152</v>
      </c>
    </row>
    <row r="53" spans="1:12" x14ac:dyDescent="0.2">
      <c r="A53" s="1">
        <v>2020</v>
      </c>
      <c r="B53" t="str">
        <f>VLOOKUP(C53,References!$A$5:$B$8,2,TRUE)</f>
        <v>Entry Level</v>
      </c>
      <c r="C53" t="s">
        <v>30</v>
      </c>
      <c r="D53" t="s">
        <v>147</v>
      </c>
      <c r="E53" t="str">
        <f>VLOOKUP(F53,References!$D$1:$F$50,3,TRUE)</f>
        <v>Data Analyst</v>
      </c>
      <c r="F53" t="s">
        <v>31</v>
      </c>
      <c r="G53">
        <v>91000</v>
      </c>
      <c r="H53" t="s">
        <v>29</v>
      </c>
      <c r="I53">
        <v>100</v>
      </c>
      <c r="J53" t="s">
        <v>29</v>
      </c>
      <c r="K53" t="str">
        <f>VLOOKUP(J53,CountryName!$B:$C,2,TRUE)</f>
        <v>North America</v>
      </c>
      <c r="L53" t="s">
        <v>151</v>
      </c>
    </row>
    <row r="54" spans="1:12" x14ac:dyDescent="0.2">
      <c r="A54" s="1">
        <v>2020</v>
      </c>
      <c r="B54" t="str">
        <f>VLOOKUP(C54,References!$A$5:$B$8,2,TRUE)</f>
        <v>Entry Level</v>
      </c>
      <c r="C54" t="s">
        <v>30</v>
      </c>
      <c r="D54" t="s">
        <v>147</v>
      </c>
      <c r="E54" t="str">
        <f>VLOOKUP(F54,References!$D$1:$F$50,3,TRUE)</f>
        <v>Data Scientist</v>
      </c>
      <c r="F54" t="s">
        <v>70</v>
      </c>
      <c r="G54">
        <v>45896</v>
      </c>
      <c r="H54" t="s">
        <v>72</v>
      </c>
      <c r="I54">
        <v>50</v>
      </c>
      <c r="J54" t="s">
        <v>72</v>
      </c>
      <c r="K54" t="str">
        <f>VLOOKUP(J54,CountryName!$B:$C,2,TRUE)</f>
        <v>Europe</v>
      </c>
      <c r="L54" t="s">
        <v>152</v>
      </c>
    </row>
    <row r="55" spans="1:12" x14ac:dyDescent="0.2">
      <c r="A55" s="1">
        <v>2020</v>
      </c>
      <c r="B55" t="str">
        <f>VLOOKUP(C55,References!$A$5:$B$8,2,TRUE)</f>
        <v>Entry Level</v>
      </c>
      <c r="C55" t="s">
        <v>30</v>
      </c>
      <c r="D55" t="s">
        <v>147</v>
      </c>
      <c r="E55" t="str">
        <f>VLOOKUP(F55,References!$D$1:$F$50,3,TRUE)</f>
        <v>Data Engineer</v>
      </c>
      <c r="F55" t="s">
        <v>43</v>
      </c>
      <c r="G55">
        <v>54742</v>
      </c>
      <c r="H55" t="s">
        <v>42</v>
      </c>
      <c r="I55">
        <v>100</v>
      </c>
      <c r="J55" t="s">
        <v>15</v>
      </c>
      <c r="K55" t="str">
        <f>VLOOKUP(J55,CountryName!$B:$C,2,TRUE)</f>
        <v>Europe</v>
      </c>
      <c r="L55" t="s">
        <v>151</v>
      </c>
    </row>
    <row r="56" spans="1:12" x14ac:dyDescent="0.2">
      <c r="A56" s="1">
        <v>2020</v>
      </c>
      <c r="B56" t="str">
        <f>VLOOKUP(C56,References!$A$5:$B$8,2,TRUE)</f>
        <v>Senior Level</v>
      </c>
      <c r="C56" t="s">
        <v>17</v>
      </c>
      <c r="D56" t="s">
        <v>149</v>
      </c>
      <c r="E56" t="str">
        <f>VLOOKUP(F56,References!$D$1:$F$50,3,TRUE)</f>
        <v>Data Engineer</v>
      </c>
      <c r="F56" t="s">
        <v>74</v>
      </c>
      <c r="G56">
        <v>60000</v>
      </c>
      <c r="H56" t="s">
        <v>75</v>
      </c>
      <c r="I56">
        <v>100</v>
      </c>
      <c r="J56" t="s">
        <v>29</v>
      </c>
      <c r="K56" t="str">
        <f>VLOOKUP(J56,CountryName!$B:$C,2,TRUE)</f>
        <v>North America</v>
      </c>
      <c r="L56" t="s">
        <v>152</v>
      </c>
    </row>
    <row r="57" spans="1:12" x14ac:dyDescent="0.2">
      <c r="A57" s="1">
        <v>2020</v>
      </c>
      <c r="B57" t="str">
        <f>VLOOKUP(C57,References!$A$5:$B$8,2,TRUE)</f>
        <v>Senior Level</v>
      </c>
      <c r="C57" t="s">
        <v>17</v>
      </c>
      <c r="D57" t="s">
        <v>147</v>
      </c>
      <c r="E57" t="str">
        <f>VLOOKUP(F57,References!$D$1:$F$50,3,TRUE)</f>
        <v>Scientist</v>
      </c>
      <c r="F57" t="s">
        <v>76</v>
      </c>
      <c r="G57">
        <v>148261</v>
      </c>
      <c r="H57" t="s">
        <v>15</v>
      </c>
      <c r="I57">
        <v>100</v>
      </c>
      <c r="J57" t="s">
        <v>15</v>
      </c>
      <c r="K57" t="str">
        <f>VLOOKUP(J57,CountryName!$B:$C,2,TRUE)</f>
        <v>Europe</v>
      </c>
      <c r="L57" t="s">
        <v>153</v>
      </c>
    </row>
    <row r="58" spans="1:12" x14ac:dyDescent="0.2">
      <c r="A58" s="1">
        <v>2020</v>
      </c>
      <c r="B58" t="str">
        <f>VLOOKUP(C58,References!$A$5:$B$8,2,TRUE)</f>
        <v>Mid level</v>
      </c>
      <c r="C58" t="s">
        <v>11</v>
      </c>
      <c r="D58" t="s">
        <v>147</v>
      </c>
      <c r="E58" t="str">
        <f>VLOOKUP(F58,References!$D$1:$F$50,3,TRUE)</f>
        <v>Data Scientist</v>
      </c>
      <c r="F58" t="s">
        <v>13</v>
      </c>
      <c r="G58">
        <v>38776</v>
      </c>
      <c r="H58" t="s">
        <v>67</v>
      </c>
      <c r="I58">
        <v>100</v>
      </c>
      <c r="J58" t="s">
        <v>67</v>
      </c>
      <c r="K58" t="str">
        <f>VLOOKUP(J58,CountryName!$B:$C,2,TRUE)</f>
        <v>Europe</v>
      </c>
      <c r="L58" t="s">
        <v>153</v>
      </c>
    </row>
    <row r="59" spans="1:12" x14ac:dyDescent="0.2">
      <c r="A59" s="1">
        <v>2020</v>
      </c>
      <c r="B59" t="str">
        <f>VLOOKUP(C59,References!$A$5:$B$8,2,TRUE)</f>
        <v>Mid level</v>
      </c>
      <c r="C59" t="s">
        <v>11</v>
      </c>
      <c r="D59" t="s">
        <v>147</v>
      </c>
      <c r="E59" t="str">
        <f>VLOOKUP(F59,References!$D$1:$F$50,3,TRUE)</f>
        <v>Data Scientist</v>
      </c>
      <c r="F59" t="s">
        <v>13</v>
      </c>
      <c r="G59">
        <v>118000</v>
      </c>
      <c r="H59" t="s">
        <v>29</v>
      </c>
      <c r="I59">
        <v>100</v>
      </c>
      <c r="J59" t="s">
        <v>29</v>
      </c>
      <c r="K59" t="str">
        <f>VLOOKUP(J59,CountryName!$B:$C,2,TRUE)</f>
        <v>North America</v>
      </c>
      <c r="L59" t="s">
        <v>153</v>
      </c>
    </row>
    <row r="60" spans="1:12" x14ac:dyDescent="0.2">
      <c r="A60" s="1">
        <v>2020</v>
      </c>
      <c r="B60" t="str">
        <f>VLOOKUP(C60,References!$A$5:$B$8,2,TRUE)</f>
        <v>Senior Level</v>
      </c>
      <c r="C60" t="s">
        <v>17</v>
      </c>
      <c r="D60" t="s">
        <v>147</v>
      </c>
      <c r="E60" t="str">
        <f>VLOOKUP(F60,References!$D$1:$F$50,3,TRUE)</f>
        <v>Data Scientist</v>
      </c>
      <c r="F60" t="s">
        <v>13</v>
      </c>
      <c r="G60">
        <v>120000</v>
      </c>
      <c r="H60" t="s">
        <v>29</v>
      </c>
      <c r="I60">
        <v>50</v>
      </c>
      <c r="J60" t="s">
        <v>29</v>
      </c>
      <c r="K60" t="str">
        <f>VLOOKUP(J60,CountryName!$B:$C,2,TRUE)</f>
        <v>North America</v>
      </c>
      <c r="L60" t="s">
        <v>151</v>
      </c>
    </row>
    <row r="61" spans="1:12" x14ac:dyDescent="0.2">
      <c r="A61" s="1">
        <v>2020</v>
      </c>
      <c r="B61" t="str">
        <f>VLOOKUP(C61,References!$A$5:$B$8,2,TRUE)</f>
        <v>Mid level</v>
      </c>
      <c r="C61" t="s">
        <v>11</v>
      </c>
      <c r="D61" t="s">
        <v>147</v>
      </c>
      <c r="E61" t="str">
        <f>VLOOKUP(F61,References!$D$1:$F$50,3,TRUE)</f>
        <v>Data Scientist</v>
      </c>
      <c r="F61" t="s">
        <v>13</v>
      </c>
      <c r="G61">
        <v>138350</v>
      </c>
      <c r="H61" t="s">
        <v>29</v>
      </c>
      <c r="I61">
        <v>100</v>
      </c>
      <c r="J61" t="s">
        <v>29</v>
      </c>
      <c r="K61" t="str">
        <f>VLOOKUP(J61,CountryName!$B:$C,2,TRUE)</f>
        <v>North America</v>
      </c>
      <c r="L61" t="s">
        <v>153</v>
      </c>
    </row>
    <row r="62" spans="1:12" x14ac:dyDescent="0.2">
      <c r="A62" s="1">
        <v>2020</v>
      </c>
      <c r="B62" t="str">
        <f>VLOOKUP(C62,References!$A$5:$B$8,2,TRUE)</f>
        <v>Mid level</v>
      </c>
      <c r="C62" t="s">
        <v>11</v>
      </c>
      <c r="D62" t="s">
        <v>147</v>
      </c>
      <c r="E62" t="str">
        <f>VLOOKUP(F62,References!$D$1:$F$50,3,TRUE)</f>
        <v>Data Engineer</v>
      </c>
      <c r="F62" t="s">
        <v>43</v>
      </c>
      <c r="G62">
        <v>110000</v>
      </c>
      <c r="H62" t="s">
        <v>29</v>
      </c>
      <c r="I62">
        <v>100</v>
      </c>
      <c r="J62" t="s">
        <v>29</v>
      </c>
      <c r="K62" t="str">
        <f>VLOOKUP(J62,CountryName!$B:$C,2,TRUE)</f>
        <v>North America</v>
      </c>
      <c r="L62" t="s">
        <v>151</v>
      </c>
    </row>
    <row r="63" spans="1:12" x14ac:dyDescent="0.2">
      <c r="A63" s="1">
        <v>2020</v>
      </c>
      <c r="B63" t="str">
        <f>VLOOKUP(C63,References!$A$5:$B$8,2,TRUE)</f>
        <v>Mid level</v>
      </c>
      <c r="C63" t="s">
        <v>11</v>
      </c>
      <c r="D63" t="s">
        <v>147</v>
      </c>
      <c r="E63" t="str">
        <f>VLOOKUP(F63,References!$D$1:$F$50,3,TRUE)</f>
        <v>Data Engineer</v>
      </c>
      <c r="F63" t="s">
        <v>43</v>
      </c>
      <c r="G63">
        <v>130800</v>
      </c>
      <c r="H63" t="s">
        <v>67</v>
      </c>
      <c r="I63">
        <v>100</v>
      </c>
      <c r="J63" t="s">
        <v>29</v>
      </c>
      <c r="K63" t="str">
        <f>VLOOKUP(J63,CountryName!$B:$C,2,TRUE)</f>
        <v>North America</v>
      </c>
      <c r="L63" t="s">
        <v>153</v>
      </c>
    </row>
    <row r="64" spans="1:12" x14ac:dyDescent="0.2">
      <c r="A64" s="1">
        <v>2020</v>
      </c>
      <c r="B64" t="str">
        <f>VLOOKUP(C64,References!$A$5:$B$8,2,TRUE)</f>
        <v>Entry Level</v>
      </c>
      <c r="C64" t="s">
        <v>30</v>
      </c>
      <c r="D64" t="s">
        <v>150</v>
      </c>
      <c r="E64" t="str">
        <f>VLOOKUP(F64,References!$D$1:$F$50,3,TRUE)</f>
        <v>Data Scientist</v>
      </c>
      <c r="F64" t="s">
        <v>13</v>
      </c>
      <c r="G64">
        <v>21669</v>
      </c>
      <c r="H64" t="s">
        <v>77</v>
      </c>
      <c r="I64">
        <v>50</v>
      </c>
      <c r="J64" t="s">
        <v>77</v>
      </c>
      <c r="K64" t="str">
        <f>VLOOKUP(J64,CountryName!$B:$C,2,TRUE)</f>
        <v>Europe</v>
      </c>
      <c r="L64" t="s">
        <v>152</v>
      </c>
    </row>
    <row r="65" spans="1:12" x14ac:dyDescent="0.2">
      <c r="A65" s="1">
        <v>2020</v>
      </c>
      <c r="B65" t="str">
        <f>VLOOKUP(C65,References!$A$5:$B$8,2,TRUE)</f>
        <v>Senior Level</v>
      </c>
      <c r="C65" t="s">
        <v>17</v>
      </c>
      <c r="D65" t="s">
        <v>147</v>
      </c>
      <c r="E65" t="str">
        <f>VLOOKUP(F65,References!$D$1:$F$50,3,TRUE)</f>
        <v>Data Scientist</v>
      </c>
      <c r="F65" t="s">
        <v>13</v>
      </c>
      <c r="G65">
        <v>412000</v>
      </c>
      <c r="H65" t="s">
        <v>29</v>
      </c>
      <c r="I65">
        <v>100</v>
      </c>
      <c r="J65" t="s">
        <v>29</v>
      </c>
      <c r="K65" t="str">
        <f>VLOOKUP(J65,CountryName!$B:$C,2,TRUE)</f>
        <v>North America</v>
      </c>
      <c r="L65" t="s">
        <v>151</v>
      </c>
    </row>
    <row r="66" spans="1:12" x14ac:dyDescent="0.2">
      <c r="A66" s="1">
        <v>2020</v>
      </c>
      <c r="B66" t="str">
        <f>VLOOKUP(C66,References!$A$5:$B$8,2,TRUE)</f>
        <v>Senior Level</v>
      </c>
      <c r="C66" t="s">
        <v>17</v>
      </c>
      <c r="D66" t="s">
        <v>147</v>
      </c>
      <c r="E66" t="str">
        <f>VLOOKUP(F66,References!$D$1:$F$50,3,TRUE)</f>
        <v>Machine Learning</v>
      </c>
      <c r="F66" t="s">
        <v>28</v>
      </c>
      <c r="G66">
        <v>45618</v>
      </c>
      <c r="H66" t="s">
        <v>78</v>
      </c>
      <c r="I66">
        <v>100</v>
      </c>
      <c r="J66" t="s">
        <v>78</v>
      </c>
      <c r="K66" t="str">
        <f>VLOOKUP(J66,CountryName!$B:$C,2,TRUE)</f>
        <v>Europe</v>
      </c>
      <c r="L66" t="s">
        <v>152</v>
      </c>
    </row>
    <row r="67" spans="1:12" x14ac:dyDescent="0.2">
      <c r="A67" s="1">
        <v>2020</v>
      </c>
      <c r="B67" t="str">
        <f>VLOOKUP(C67,References!$A$5:$B$8,2,TRUE)</f>
        <v>Entry Level</v>
      </c>
      <c r="C67" t="s">
        <v>30</v>
      </c>
      <c r="D67" t="s">
        <v>147</v>
      </c>
      <c r="E67" t="str">
        <f>VLOOKUP(F67,References!$D$1:$F$50,3,TRUE)</f>
        <v>Data Scientist</v>
      </c>
      <c r="F67" t="s">
        <v>13</v>
      </c>
      <c r="G67">
        <v>62726</v>
      </c>
      <c r="H67" t="s">
        <v>15</v>
      </c>
      <c r="I67">
        <v>50</v>
      </c>
      <c r="J67" t="s">
        <v>15</v>
      </c>
      <c r="K67" t="str">
        <f>VLOOKUP(J67,CountryName!$B:$C,2,TRUE)</f>
        <v>Europe</v>
      </c>
      <c r="L67" t="s">
        <v>152</v>
      </c>
    </row>
    <row r="68" spans="1:12" x14ac:dyDescent="0.2">
      <c r="A68" s="1">
        <v>2020</v>
      </c>
      <c r="B68" t="str">
        <f>VLOOKUP(C68,References!$A$5:$B$8,2,TRUE)</f>
        <v>Entry Level</v>
      </c>
      <c r="C68" t="s">
        <v>30</v>
      </c>
      <c r="D68" t="s">
        <v>147</v>
      </c>
      <c r="E68" t="str">
        <f>VLOOKUP(F68,References!$D$1:$F$50,3,TRUE)</f>
        <v>Data Scientist</v>
      </c>
      <c r="F68" t="s">
        <v>13</v>
      </c>
      <c r="G68">
        <v>49268</v>
      </c>
      <c r="H68" t="s">
        <v>15</v>
      </c>
      <c r="I68">
        <v>0</v>
      </c>
      <c r="J68" t="s">
        <v>15</v>
      </c>
      <c r="K68" t="str">
        <f>VLOOKUP(J68,CountryName!$B:$C,2,TRUE)</f>
        <v>Europe</v>
      </c>
      <c r="L68" t="s">
        <v>152</v>
      </c>
    </row>
    <row r="69" spans="1:12" x14ac:dyDescent="0.2">
      <c r="A69" s="1">
        <v>2020</v>
      </c>
      <c r="B69" t="str">
        <f>VLOOKUP(C69,References!$A$5:$B$8,2,TRUE)</f>
        <v>Senior Level</v>
      </c>
      <c r="C69" t="s">
        <v>17</v>
      </c>
      <c r="D69" t="s">
        <v>147</v>
      </c>
      <c r="E69" t="str">
        <f>VLOOKUP(F69,References!$D$1:$F$50,3,TRUE)</f>
        <v>Manager</v>
      </c>
      <c r="F69" t="s">
        <v>79</v>
      </c>
      <c r="G69">
        <v>190200</v>
      </c>
      <c r="H69" t="s">
        <v>29</v>
      </c>
      <c r="I69">
        <v>100</v>
      </c>
      <c r="J69" t="s">
        <v>29</v>
      </c>
      <c r="K69" t="str">
        <f>VLOOKUP(J69,CountryName!$B:$C,2,TRUE)</f>
        <v>North America</v>
      </c>
      <c r="L69" t="s">
        <v>153</v>
      </c>
    </row>
    <row r="70" spans="1:12" x14ac:dyDescent="0.2">
      <c r="A70" s="1">
        <v>2020</v>
      </c>
      <c r="B70" t="str">
        <f>VLOOKUP(C70,References!$A$5:$B$8,2,TRUE)</f>
        <v>Entry Level</v>
      </c>
      <c r="C70" t="s">
        <v>30</v>
      </c>
      <c r="D70" t="s">
        <v>147</v>
      </c>
      <c r="E70" t="str">
        <f>VLOOKUP(F70,References!$D$1:$F$50,3,TRUE)</f>
        <v>Data Scientist</v>
      </c>
      <c r="F70" t="s">
        <v>13</v>
      </c>
      <c r="G70">
        <v>105000</v>
      </c>
      <c r="H70" t="s">
        <v>29</v>
      </c>
      <c r="I70">
        <v>100</v>
      </c>
      <c r="J70" t="s">
        <v>29</v>
      </c>
      <c r="K70" t="str">
        <f>VLOOKUP(J70,CountryName!$B:$C,2,TRUE)</f>
        <v>North America</v>
      </c>
      <c r="L70" t="s">
        <v>152</v>
      </c>
    </row>
    <row r="71" spans="1:12" x14ac:dyDescent="0.2">
      <c r="A71" s="1">
        <v>2020</v>
      </c>
      <c r="B71" t="str">
        <f>VLOOKUP(C71,References!$A$5:$B$8,2,TRUE)</f>
        <v>Senior Level</v>
      </c>
      <c r="C71" t="s">
        <v>17</v>
      </c>
      <c r="D71" t="s">
        <v>147</v>
      </c>
      <c r="E71" t="str">
        <f>VLOOKUP(F71,References!$D$1:$F$50,3,TRUE)</f>
        <v>Data Scientist</v>
      </c>
      <c r="F71" t="s">
        <v>13</v>
      </c>
      <c r="G71">
        <v>91237</v>
      </c>
      <c r="H71" t="s">
        <v>64</v>
      </c>
      <c r="I71">
        <v>0</v>
      </c>
      <c r="J71" t="s">
        <v>64</v>
      </c>
      <c r="K71" t="str">
        <f>VLOOKUP(J71,CountryName!$B:$C,2,TRUE)</f>
        <v>Europe</v>
      </c>
      <c r="L71" t="s">
        <v>152</v>
      </c>
    </row>
    <row r="72" spans="1:12" x14ac:dyDescent="0.2">
      <c r="A72" s="1">
        <v>2020</v>
      </c>
      <c r="B72" t="str">
        <f>VLOOKUP(C72,References!$A$5:$B$8,2,TRUE)</f>
        <v>Mid level</v>
      </c>
      <c r="C72" t="s">
        <v>11</v>
      </c>
      <c r="D72" t="s">
        <v>147</v>
      </c>
      <c r="E72" t="str">
        <f>VLOOKUP(F72,References!$D$1:$F$50,3,TRUE)</f>
        <v>Data Scientist</v>
      </c>
      <c r="F72" t="s">
        <v>13</v>
      </c>
      <c r="G72">
        <v>62726</v>
      </c>
      <c r="H72" t="s">
        <v>38</v>
      </c>
      <c r="I72">
        <v>50</v>
      </c>
      <c r="J72" t="s">
        <v>80</v>
      </c>
      <c r="K72" t="str">
        <f>VLOOKUP(J72,CountryName!$B:$C,2,TRUE)</f>
        <v>Europe</v>
      </c>
      <c r="L72" t="s">
        <v>152</v>
      </c>
    </row>
    <row r="73" spans="1:12" x14ac:dyDescent="0.2">
      <c r="A73" s="1">
        <v>2020</v>
      </c>
      <c r="B73" t="str">
        <f>VLOOKUP(C73,References!$A$5:$B$8,2,TRUE)</f>
        <v>Mid level</v>
      </c>
      <c r="C73" t="s">
        <v>11</v>
      </c>
      <c r="D73" t="s">
        <v>147</v>
      </c>
      <c r="E73" t="str">
        <f>VLOOKUP(F73,References!$D$1:$F$50,3,TRUE)</f>
        <v>Data Scientist</v>
      </c>
      <c r="F73" t="s">
        <v>13</v>
      </c>
      <c r="G73">
        <v>42197</v>
      </c>
      <c r="H73" t="s">
        <v>38</v>
      </c>
      <c r="I73">
        <v>50</v>
      </c>
      <c r="J73" t="s">
        <v>38</v>
      </c>
      <c r="K73" t="str">
        <f>VLOOKUP(J73,CountryName!$B:$C,2,TRUE)</f>
        <v>Europe</v>
      </c>
      <c r="L73" t="s">
        <v>152</v>
      </c>
    </row>
    <row r="74" spans="1:12" x14ac:dyDescent="0.2">
      <c r="A74" s="1">
        <v>2021</v>
      </c>
      <c r="B74" t="str">
        <f>VLOOKUP(C74,References!$A$5:$B$8,2,TRUE)</f>
        <v>Entry Level</v>
      </c>
      <c r="C74" t="s">
        <v>30</v>
      </c>
      <c r="D74" t="s">
        <v>147</v>
      </c>
      <c r="E74" t="str">
        <f>VLOOKUP(F74,References!$D$1:$F$50,3,TRUE)</f>
        <v>Scientist</v>
      </c>
      <c r="F74" t="s">
        <v>55</v>
      </c>
      <c r="G74">
        <v>82528</v>
      </c>
      <c r="H74" t="s">
        <v>24</v>
      </c>
      <c r="I74">
        <v>50</v>
      </c>
      <c r="J74" t="s">
        <v>24</v>
      </c>
      <c r="K74" t="str">
        <f>VLOOKUP(J74,CountryName!$B:$C,2,TRUE)</f>
        <v>Europe</v>
      </c>
      <c r="L74" t="s">
        <v>151</v>
      </c>
    </row>
    <row r="75" spans="1:12" x14ac:dyDescent="0.2">
      <c r="A75" s="1">
        <v>2021</v>
      </c>
      <c r="B75" t="str">
        <f>VLOOKUP(C75,References!$A$5:$B$8,2,TRUE)</f>
        <v>Expert Level</v>
      </c>
      <c r="C75" t="s">
        <v>53</v>
      </c>
      <c r="D75" t="s">
        <v>147</v>
      </c>
      <c r="E75" t="str">
        <f>VLOOKUP(F75,References!$D$1:$F$50,3,TRUE)</f>
        <v>Data Analyst</v>
      </c>
      <c r="F75" t="s">
        <v>51</v>
      </c>
      <c r="G75">
        <v>150000</v>
      </c>
      <c r="H75" t="s">
        <v>40</v>
      </c>
      <c r="I75">
        <v>100</v>
      </c>
      <c r="J75" t="s">
        <v>29</v>
      </c>
      <c r="K75" t="str">
        <f>VLOOKUP(J75,CountryName!$B:$C,2,TRUE)</f>
        <v>North America</v>
      </c>
      <c r="L75" t="s">
        <v>151</v>
      </c>
    </row>
    <row r="76" spans="1:12" x14ac:dyDescent="0.2">
      <c r="A76" s="1">
        <v>2021</v>
      </c>
      <c r="B76" t="str">
        <f>VLOOKUP(C76,References!$A$5:$B$8,2,TRUE)</f>
        <v>Expert Level</v>
      </c>
      <c r="C76" t="s">
        <v>53</v>
      </c>
      <c r="D76" t="s">
        <v>147</v>
      </c>
      <c r="E76" t="str">
        <f>VLOOKUP(F76,References!$D$1:$F$50,3,TRUE)</f>
        <v>Manager</v>
      </c>
      <c r="F76" t="s">
        <v>81</v>
      </c>
      <c r="G76">
        <v>235000</v>
      </c>
      <c r="H76" t="s">
        <v>29</v>
      </c>
      <c r="I76">
        <v>100</v>
      </c>
      <c r="J76" t="s">
        <v>29</v>
      </c>
      <c r="K76" t="str">
        <f>VLOOKUP(J76,CountryName!$B:$C,2,TRUE)</f>
        <v>North America</v>
      </c>
      <c r="L76" t="s">
        <v>151</v>
      </c>
    </row>
    <row r="77" spans="1:12" x14ac:dyDescent="0.2">
      <c r="A77" s="1">
        <v>2021</v>
      </c>
      <c r="B77" t="str">
        <f>VLOOKUP(C77,References!$A$5:$B$8,2,TRUE)</f>
        <v>Senior Level</v>
      </c>
      <c r="C77" t="s">
        <v>17</v>
      </c>
      <c r="D77" t="s">
        <v>147</v>
      </c>
      <c r="E77" t="str">
        <f>VLOOKUP(F77,References!$D$1:$F$50,3,TRUE)</f>
        <v>Data Scientist</v>
      </c>
      <c r="F77" t="s">
        <v>13</v>
      </c>
      <c r="G77">
        <v>53192</v>
      </c>
      <c r="H77" t="s">
        <v>38</v>
      </c>
      <c r="I77">
        <v>50</v>
      </c>
      <c r="J77" t="s">
        <v>38</v>
      </c>
      <c r="K77" t="str">
        <f>VLOOKUP(J77,CountryName!$B:$C,2,TRUE)</f>
        <v>Europe</v>
      </c>
      <c r="L77" t="s">
        <v>151</v>
      </c>
    </row>
    <row r="78" spans="1:12" x14ac:dyDescent="0.2">
      <c r="A78" s="1">
        <v>2021</v>
      </c>
      <c r="B78" t="str">
        <f>VLOOKUP(C78,References!$A$5:$B$8,2,TRUE)</f>
        <v>Mid level</v>
      </c>
      <c r="C78" t="s">
        <v>11</v>
      </c>
      <c r="D78" t="s">
        <v>147</v>
      </c>
      <c r="E78" t="str">
        <f>VLOOKUP(F78,References!$D$1:$F$50,3,TRUE)</f>
        <v>Data Analyst</v>
      </c>
      <c r="F78" t="s">
        <v>51</v>
      </c>
      <c r="G78">
        <v>100000</v>
      </c>
      <c r="H78" t="s">
        <v>29</v>
      </c>
      <c r="I78">
        <v>100</v>
      </c>
      <c r="J78" t="s">
        <v>29</v>
      </c>
      <c r="K78" t="str">
        <f>VLOOKUP(J78,CountryName!$B:$C,2,TRUE)</f>
        <v>North America</v>
      </c>
      <c r="L78" t="s">
        <v>153</v>
      </c>
    </row>
    <row r="79" spans="1:12" x14ac:dyDescent="0.2">
      <c r="A79" s="1">
        <v>2021</v>
      </c>
      <c r="B79" t="str">
        <f>VLOOKUP(C79,References!$A$5:$B$8,2,TRUE)</f>
        <v>Mid level</v>
      </c>
      <c r="C79" t="s">
        <v>11</v>
      </c>
      <c r="D79" t="s">
        <v>150</v>
      </c>
      <c r="E79" t="str">
        <f>VLOOKUP(F79,References!$D$1:$F$50,3,TRUE)</f>
        <v>Computer Vision</v>
      </c>
      <c r="F79" t="s">
        <v>82</v>
      </c>
      <c r="G79">
        <v>5409</v>
      </c>
      <c r="H79" t="s">
        <v>40</v>
      </c>
      <c r="I79">
        <v>50</v>
      </c>
      <c r="J79" t="s">
        <v>40</v>
      </c>
      <c r="K79" t="str">
        <f>VLOOKUP(J79,CountryName!$B:$C,2,TRUE)</f>
        <v>Asia</v>
      </c>
      <c r="L79" t="s">
        <v>153</v>
      </c>
    </row>
    <row r="80" spans="1:12" x14ac:dyDescent="0.2">
      <c r="A80" s="1">
        <v>2021</v>
      </c>
      <c r="B80" t="str">
        <f>VLOOKUP(C80,References!$A$5:$B$8,2,TRUE)</f>
        <v>Mid level</v>
      </c>
      <c r="C80" t="s">
        <v>11</v>
      </c>
      <c r="D80" t="s">
        <v>148</v>
      </c>
      <c r="E80" t="str">
        <f>VLOOKUP(F80,References!$D$1:$F$50,3,TRUE)</f>
        <v>Machine Learning</v>
      </c>
      <c r="F80" t="s">
        <v>69</v>
      </c>
      <c r="G80">
        <v>270000</v>
      </c>
      <c r="H80" t="s">
        <v>29</v>
      </c>
      <c r="I80">
        <v>100</v>
      </c>
      <c r="J80" t="s">
        <v>29</v>
      </c>
      <c r="K80" t="str">
        <f>VLOOKUP(J80,CountryName!$B:$C,2,TRUE)</f>
        <v>North America</v>
      </c>
      <c r="L80" t="s">
        <v>151</v>
      </c>
    </row>
    <row r="81" spans="1:12" x14ac:dyDescent="0.2">
      <c r="A81" s="1">
        <v>2021</v>
      </c>
      <c r="B81" t="str">
        <f>VLOOKUP(C81,References!$A$5:$B$8,2,TRUE)</f>
        <v>Entry Level</v>
      </c>
      <c r="C81" t="s">
        <v>30</v>
      </c>
      <c r="D81" t="s">
        <v>147</v>
      </c>
      <c r="E81" t="str">
        <f>VLOOKUP(F81,References!$D$1:$F$50,3,TRUE)</f>
        <v>Data Analyst</v>
      </c>
      <c r="F81" t="s">
        <v>31</v>
      </c>
      <c r="G81">
        <v>80000</v>
      </c>
      <c r="H81" t="s">
        <v>29</v>
      </c>
      <c r="I81">
        <v>100</v>
      </c>
      <c r="J81" t="s">
        <v>29</v>
      </c>
      <c r="K81" t="str">
        <f>VLOOKUP(J81,CountryName!$B:$C,2,TRUE)</f>
        <v>North America</v>
      </c>
      <c r="L81" t="s">
        <v>153</v>
      </c>
    </row>
    <row r="82" spans="1:12" x14ac:dyDescent="0.2">
      <c r="A82" s="1">
        <v>2021</v>
      </c>
      <c r="B82" t="str">
        <f>VLOOKUP(C82,References!$A$5:$B$8,2,TRUE)</f>
        <v>Senior Level</v>
      </c>
      <c r="C82" t="s">
        <v>17</v>
      </c>
      <c r="D82" t="s">
        <v>147</v>
      </c>
      <c r="E82" t="str">
        <f>VLOOKUP(F82,References!$D$1:$F$50,3,TRUE)</f>
        <v>Data Analyst</v>
      </c>
      <c r="F82" t="s">
        <v>83</v>
      </c>
      <c r="G82">
        <v>79197</v>
      </c>
      <c r="H82" t="s">
        <v>15</v>
      </c>
      <c r="I82">
        <v>100</v>
      </c>
      <c r="J82" t="s">
        <v>15</v>
      </c>
      <c r="K82" t="str">
        <f>VLOOKUP(J82,CountryName!$B:$C,2,TRUE)</f>
        <v>Europe</v>
      </c>
      <c r="L82" t="s">
        <v>151</v>
      </c>
    </row>
    <row r="83" spans="1:12" x14ac:dyDescent="0.2">
      <c r="A83" s="1">
        <v>2021</v>
      </c>
      <c r="B83" t="str">
        <f>VLOOKUP(C83,References!$A$5:$B$8,2,TRUE)</f>
        <v>Mid level</v>
      </c>
      <c r="C83" t="s">
        <v>11</v>
      </c>
      <c r="D83" t="s">
        <v>147</v>
      </c>
      <c r="E83" t="str">
        <f>VLOOKUP(F83,References!$D$1:$F$50,3,TRUE)</f>
        <v>Data Engineer</v>
      </c>
      <c r="F83" t="s">
        <v>43</v>
      </c>
      <c r="G83">
        <v>140000</v>
      </c>
      <c r="H83" t="s">
        <v>29</v>
      </c>
      <c r="I83">
        <v>100</v>
      </c>
      <c r="J83" t="s">
        <v>29</v>
      </c>
      <c r="K83" t="str">
        <f>VLOOKUP(J83,CountryName!$B:$C,2,TRUE)</f>
        <v>North America</v>
      </c>
      <c r="L83" t="s">
        <v>151</v>
      </c>
    </row>
    <row r="84" spans="1:12" x14ac:dyDescent="0.2">
      <c r="A84" s="1">
        <v>2021</v>
      </c>
      <c r="B84" t="str">
        <f>VLOOKUP(C84,References!$A$5:$B$8,2,TRUE)</f>
        <v>Mid level</v>
      </c>
      <c r="C84" t="s">
        <v>11</v>
      </c>
      <c r="D84" t="s">
        <v>147</v>
      </c>
      <c r="E84" t="str">
        <f>VLOOKUP(F84,References!$D$1:$F$50,3,TRUE)</f>
        <v>Data Scientist</v>
      </c>
      <c r="F84" t="s">
        <v>84</v>
      </c>
      <c r="G84">
        <v>54238</v>
      </c>
      <c r="H84" t="s">
        <v>24</v>
      </c>
      <c r="I84">
        <v>50</v>
      </c>
      <c r="J84" t="s">
        <v>62</v>
      </c>
      <c r="K84" t="str">
        <f>VLOOKUP(J84,CountryName!$B:$C,2,TRUE)</f>
        <v>North America</v>
      </c>
      <c r="L84" t="s">
        <v>151</v>
      </c>
    </row>
    <row r="85" spans="1:12" x14ac:dyDescent="0.2">
      <c r="A85" s="1">
        <v>2021</v>
      </c>
      <c r="B85" t="str">
        <f>VLOOKUP(C85,References!$A$5:$B$8,2,TRUE)</f>
        <v>Mid level</v>
      </c>
      <c r="C85" t="s">
        <v>11</v>
      </c>
      <c r="D85" t="s">
        <v>147</v>
      </c>
      <c r="E85" t="str">
        <f>VLOOKUP(F85,References!$D$1:$F$50,3,TRUE)</f>
        <v>Machine Learning</v>
      </c>
      <c r="F85" t="s">
        <v>28</v>
      </c>
      <c r="G85">
        <v>47282</v>
      </c>
      <c r="H85" t="s">
        <v>67</v>
      </c>
      <c r="I85">
        <v>100</v>
      </c>
      <c r="J85" t="s">
        <v>67</v>
      </c>
      <c r="K85" t="str">
        <f>VLOOKUP(J85,CountryName!$B:$C,2,TRUE)</f>
        <v>Europe</v>
      </c>
      <c r="L85" t="s">
        <v>152</v>
      </c>
    </row>
    <row r="86" spans="1:12" x14ac:dyDescent="0.2">
      <c r="A86" s="1">
        <v>2021</v>
      </c>
      <c r="B86" t="str">
        <f>VLOOKUP(C86,References!$A$5:$B$8,2,TRUE)</f>
        <v>Expert Level</v>
      </c>
      <c r="C86" t="s">
        <v>53</v>
      </c>
      <c r="D86" t="s">
        <v>147</v>
      </c>
      <c r="E86" t="str">
        <f>VLOOKUP(F86,References!$D$1:$F$50,3,TRUE)</f>
        <v>Manager</v>
      </c>
      <c r="F86" t="s">
        <v>54</v>
      </c>
      <c r="G86">
        <v>153667</v>
      </c>
      <c r="H86" t="s">
        <v>77</v>
      </c>
      <c r="I86">
        <v>100</v>
      </c>
      <c r="J86" t="s">
        <v>45</v>
      </c>
      <c r="K86" t="str">
        <f>VLOOKUP(J86,CountryName!$B:$C,2,TRUE)</f>
        <v>Europe</v>
      </c>
      <c r="L86" t="s">
        <v>151</v>
      </c>
    </row>
    <row r="87" spans="1:12" x14ac:dyDescent="0.2">
      <c r="A87" s="1">
        <v>2021</v>
      </c>
      <c r="B87" t="str">
        <f>VLOOKUP(C87,References!$A$5:$B$8,2,TRUE)</f>
        <v>Mid level</v>
      </c>
      <c r="C87" t="s">
        <v>11</v>
      </c>
      <c r="D87" t="s">
        <v>147</v>
      </c>
      <c r="E87" t="str">
        <f>VLOOKUP(F87,References!$D$1:$F$50,3,TRUE)</f>
        <v>Data Engineer</v>
      </c>
      <c r="F87" t="s">
        <v>43</v>
      </c>
      <c r="G87">
        <v>28476</v>
      </c>
      <c r="H87" t="s">
        <v>45</v>
      </c>
      <c r="I87">
        <v>100</v>
      </c>
      <c r="J87" t="s">
        <v>45</v>
      </c>
      <c r="K87" t="str">
        <f>VLOOKUP(J87,CountryName!$B:$C,2,TRUE)</f>
        <v>Europe</v>
      </c>
      <c r="L87" t="s">
        <v>151</v>
      </c>
    </row>
    <row r="88" spans="1:12" x14ac:dyDescent="0.2">
      <c r="A88" s="1">
        <v>2021</v>
      </c>
      <c r="B88" t="str">
        <f>VLOOKUP(C88,References!$A$5:$B$8,2,TRUE)</f>
        <v>Entry Level</v>
      </c>
      <c r="C88" t="s">
        <v>30</v>
      </c>
      <c r="D88" t="s">
        <v>147</v>
      </c>
      <c r="E88" t="str">
        <f>VLOOKUP(F88,References!$D$1:$F$50,3,TRUE)</f>
        <v>Data Analyst</v>
      </c>
      <c r="F88" t="s">
        <v>31</v>
      </c>
      <c r="G88">
        <v>59102</v>
      </c>
      <c r="H88" t="s">
        <v>38</v>
      </c>
      <c r="I88">
        <v>50</v>
      </c>
      <c r="J88" t="s">
        <v>38</v>
      </c>
      <c r="K88" t="str">
        <f>VLOOKUP(J88,CountryName!$B:$C,2,TRUE)</f>
        <v>Europe</v>
      </c>
      <c r="L88" t="s">
        <v>153</v>
      </c>
    </row>
    <row r="89" spans="1:12" x14ac:dyDescent="0.2">
      <c r="A89" s="1">
        <v>2021</v>
      </c>
      <c r="B89" t="str">
        <f>VLOOKUP(C89,References!$A$5:$B$8,2,TRUE)</f>
        <v>Mid level</v>
      </c>
      <c r="C89" t="s">
        <v>11</v>
      </c>
      <c r="D89" t="s">
        <v>147</v>
      </c>
      <c r="E89" t="str">
        <f>VLOOKUP(F89,References!$D$1:$F$50,3,TRUE)</f>
        <v>Data Analyst</v>
      </c>
      <c r="F89" t="s">
        <v>83</v>
      </c>
      <c r="G89">
        <v>110000</v>
      </c>
      <c r="H89" t="s">
        <v>29</v>
      </c>
      <c r="I89">
        <v>100</v>
      </c>
      <c r="J89" t="s">
        <v>29</v>
      </c>
      <c r="K89" t="str">
        <f>VLOOKUP(J89,CountryName!$B:$C,2,TRUE)</f>
        <v>North America</v>
      </c>
      <c r="L89" t="s">
        <v>151</v>
      </c>
    </row>
    <row r="90" spans="1:12" x14ac:dyDescent="0.2">
      <c r="A90" s="1">
        <v>2021</v>
      </c>
      <c r="B90" t="str">
        <f>VLOOKUP(C90,References!$A$5:$B$8,2,TRUE)</f>
        <v>Senior Level</v>
      </c>
      <c r="C90" t="s">
        <v>17</v>
      </c>
      <c r="D90" t="s">
        <v>147</v>
      </c>
      <c r="E90" t="str">
        <f>VLOOKUP(F90,References!$D$1:$F$50,3,TRUE)</f>
        <v>Manager</v>
      </c>
      <c r="F90" t="s">
        <v>41</v>
      </c>
      <c r="G90">
        <v>170000</v>
      </c>
      <c r="H90" t="s">
        <v>29</v>
      </c>
      <c r="I90">
        <v>100</v>
      </c>
      <c r="J90" t="s">
        <v>29</v>
      </c>
      <c r="K90" t="str">
        <f>VLOOKUP(J90,CountryName!$B:$C,2,TRUE)</f>
        <v>North America</v>
      </c>
      <c r="L90" t="s">
        <v>151</v>
      </c>
    </row>
    <row r="91" spans="1:12" x14ac:dyDescent="0.2">
      <c r="A91" s="1">
        <v>2021</v>
      </c>
      <c r="B91" t="str">
        <f>VLOOKUP(C91,References!$A$5:$B$8,2,TRUE)</f>
        <v>Senior Level</v>
      </c>
      <c r="C91" t="s">
        <v>17</v>
      </c>
      <c r="D91" t="s">
        <v>147</v>
      </c>
      <c r="E91" t="str">
        <f>VLOOKUP(F91,References!$D$1:$F$50,3,TRUE)</f>
        <v>Data Analyst</v>
      </c>
      <c r="F91" t="s">
        <v>31</v>
      </c>
      <c r="G91">
        <v>80000</v>
      </c>
      <c r="H91" t="s">
        <v>86</v>
      </c>
      <c r="I91">
        <v>100</v>
      </c>
      <c r="J91" t="s">
        <v>29</v>
      </c>
      <c r="K91" t="str">
        <f>VLOOKUP(J91,CountryName!$B:$C,2,TRUE)</f>
        <v>North America</v>
      </c>
      <c r="L91" t="s">
        <v>152</v>
      </c>
    </row>
    <row r="92" spans="1:12" x14ac:dyDescent="0.2">
      <c r="A92" s="1">
        <v>2021</v>
      </c>
      <c r="B92" t="str">
        <f>VLOOKUP(C92,References!$A$5:$B$8,2,TRUE)</f>
        <v>Senior Level</v>
      </c>
      <c r="C92" t="s">
        <v>17</v>
      </c>
      <c r="D92" t="s">
        <v>147</v>
      </c>
      <c r="E92" t="str">
        <f>VLOOKUP(F92,References!$D$1:$F$50,3,TRUE)</f>
        <v>Data Analyst</v>
      </c>
      <c r="F92" t="s">
        <v>87</v>
      </c>
      <c r="G92">
        <v>88654</v>
      </c>
      <c r="H92" t="s">
        <v>50</v>
      </c>
      <c r="I92">
        <v>100</v>
      </c>
      <c r="J92" t="s">
        <v>72</v>
      </c>
      <c r="K92" t="str">
        <f>VLOOKUP(J92,CountryName!$B:$C,2,TRUE)</f>
        <v>Europe</v>
      </c>
      <c r="L92" t="s">
        <v>151</v>
      </c>
    </row>
    <row r="93" spans="1:12" x14ac:dyDescent="0.2">
      <c r="A93" s="1">
        <v>2021</v>
      </c>
      <c r="B93" t="str">
        <f>VLOOKUP(C93,References!$A$5:$B$8,2,TRUE)</f>
        <v>Entry Level</v>
      </c>
      <c r="C93" t="s">
        <v>30</v>
      </c>
      <c r="D93" t="s">
        <v>147</v>
      </c>
      <c r="E93" t="str">
        <f>VLOOKUP(F93,References!$D$1:$F$50,3,TRUE)</f>
        <v>Data Analyst</v>
      </c>
      <c r="F93" t="s">
        <v>46</v>
      </c>
      <c r="G93">
        <v>76833</v>
      </c>
      <c r="H93" t="s">
        <v>15</v>
      </c>
      <c r="I93">
        <v>100</v>
      </c>
      <c r="J93" t="s">
        <v>15</v>
      </c>
      <c r="K93" t="str">
        <f>VLOOKUP(J93,CountryName!$B:$C,2,TRUE)</f>
        <v>Europe</v>
      </c>
      <c r="L93" t="s">
        <v>152</v>
      </c>
    </row>
    <row r="94" spans="1:12" x14ac:dyDescent="0.2">
      <c r="A94" s="1">
        <v>2021</v>
      </c>
      <c r="B94" t="str">
        <f>VLOOKUP(C94,References!$A$5:$B$8,2,TRUE)</f>
        <v>Mid level</v>
      </c>
      <c r="C94" t="s">
        <v>11</v>
      </c>
      <c r="D94" t="s">
        <v>147</v>
      </c>
      <c r="E94" t="str">
        <f>VLOOKUP(F94,References!$D$1:$F$50,3,TRUE)</f>
        <v>Manager</v>
      </c>
      <c r="F94" t="s">
        <v>41</v>
      </c>
      <c r="G94">
        <v>19609</v>
      </c>
      <c r="H94" t="s">
        <v>40</v>
      </c>
      <c r="I94">
        <v>100</v>
      </c>
      <c r="J94" t="s">
        <v>40</v>
      </c>
      <c r="K94" t="str">
        <f>VLOOKUP(J94,CountryName!$B:$C,2,TRUE)</f>
        <v>Asia</v>
      </c>
      <c r="L94" t="s">
        <v>151</v>
      </c>
    </row>
    <row r="95" spans="1:12" x14ac:dyDescent="0.2">
      <c r="A95" s="1">
        <v>2021</v>
      </c>
      <c r="B95" t="str">
        <f>VLOOKUP(C95,References!$A$5:$B$8,2,TRUE)</f>
        <v>Senior Level</v>
      </c>
      <c r="C95" t="s">
        <v>17</v>
      </c>
      <c r="D95" t="s">
        <v>147</v>
      </c>
      <c r="E95" t="str">
        <f>VLOOKUP(F95,References!$D$1:$F$50,3,TRUE)</f>
        <v>Manager</v>
      </c>
      <c r="F95" t="s">
        <v>36</v>
      </c>
      <c r="G95">
        <v>276000</v>
      </c>
      <c r="H95" t="s">
        <v>29</v>
      </c>
      <c r="I95">
        <v>0</v>
      </c>
      <c r="J95" t="s">
        <v>29</v>
      </c>
      <c r="K95" t="str">
        <f>VLOOKUP(J95,CountryName!$B:$C,2,TRUE)</f>
        <v>North America</v>
      </c>
      <c r="L95" t="s">
        <v>151</v>
      </c>
    </row>
    <row r="96" spans="1:12" x14ac:dyDescent="0.2">
      <c r="A96" s="1">
        <v>2021</v>
      </c>
      <c r="B96" t="str">
        <f>VLOOKUP(C96,References!$A$5:$B$8,2,TRUE)</f>
        <v>Entry Level</v>
      </c>
      <c r="C96" t="s">
        <v>30</v>
      </c>
      <c r="D96" t="s">
        <v>147</v>
      </c>
      <c r="E96" t="str">
        <f>VLOOKUP(F96,References!$D$1:$F$50,3,TRUE)</f>
        <v>Data Scientist</v>
      </c>
      <c r="F96" t="s">
        <v>13</v>
      </c>
      <c r="G96">
        <v>29751</v>
      </c>
      <c r="H96" t="s">
        <v>40</v>
      </c>
      <c r="I96">
        <v>50</v>
      </c>
      <c r="J96" t="s">
        <v>40</v>
      </c>
      <c r="K96" t="str">
        <f>VLOOKUP(J96,CountryName!$B:$C,2,TRUE)</f>
        <v>Asia</v>
      </c>
      <c r="L96" t="s">
        <v>151</v>
      </c>
    </row>
    <row r="97" spans="1:12" x14ac:dyDescent="0.2">
      <c r="A97" s="1">
        <v>2021</v>
      </c>
      <c r="B97" t="str">
        <f>VLOOKUP(C97,References!$A$5:$B$8,2,TRUE)</f>
        <v>Mid level</v>
      </c>
      <c r="C97" t="s">
        <v>11</v>
      </c>
      <c r="D97" t="s">
        <v>147</v>
      </c>
      <c r="E97" t="str">
        <f>VLOOKUP(F97,References!$D$1:$F$50,3,TRUE)</f>
        <v>Data Engineer</v>
      </c>
      <c r="F97" t="s">
        <v>88</v>
      </c>
      <c r="G97">
        <v>89294</v>
      </c>
      <c r="H97" t="s">
        <v>90</v>
      </c>
      <c r="I97">
        <v>50</v>
      </c>
      <c r="J97" t="s">
        <v>90</v>
      </c>
      <c r="K97" t="str">
        <f>VLOOKUP(J97,CountryName!$B:$C,2,TRUE)</f>
        <v>Asia</v>
      </c>
      <c r="L97" t="s">
        <v>151</v>
      </c>
    </row>
    <row r="98" spans="1:12" x14ac:dyDescent="0.2">
      <c r="A98" s="1">
        <v>2021</v>
      </c>
      <c r="B98" t="str">
        <f>VLOOKUP(C98,References!$A$5:$B$8,2,TRUE)</f>
        <v>Entry Level</v>
      </c>
      <c r="C98" t="s">
        <v>30</v>
      </c>
      <c r="D98" t="s">
        <v>150</v>
      </c>
      <c r="E98" t="str">
        <f>VLOOKUP(F98,References!$D$1:$F$50,3,TRUE)</f>
        <v>Data Scientist</v>
      </c>
      <c r="F98" t="s">
        <v>70</v>
      </c>
      <c r="G98">
        <v>12000</v>
      </c>
      <c r="H98" t="s">
        <v>91</v>
      </c>
      <c r="I98">
        <v>100</v>
      </c>
      <c r="J98" t="s">
        <v>29</v>
      </c>
      <c r="K98" t="str">
        <f>VLOOKUP(J98,CountryName!$B:$C,2,TRUE)</f>
        <v>North America</v>
      </c>
      <c r="L98" t="s">
        <v>152</v>
      </c>
    </row>
    <row r="99" spans="1:12" x14ac:dyDescent="0.2">
      <c r="A99" s="1">
        <v>2021</v>
      </c>
      <c r="B99" t="str">
        <f>VLOOKUP(C99,References!$A$5:$B$8,2,TRUE)</f>
        <v>Mid level</v>
      </c>
      <c r="C99" t="s">
        <v>11</v>
      </c>
      <c r="D99" t="s">
        <v>147</v>
      </c>
      <c r="E99" t="str">
        <f>VLOOKUP(F99,References!$D$1:$F$50,3,TRUE)</f>
        <v>Data Analyst</v>
      </c>
      <c r="F99" t="s">
        <v>92</v>
      </c>
      <c r="G99">
        <v>450000</v>
      </c>
      <c r="H99" t="s">
        <v>29</v>
      </c>
      <c r="I99">
        <v>100</v>
      </c>
      <c r="J99" t="s">
        <v>29</v>
      </c>
      <c r="K99" t="str">
        <f>VLOOKUP(J99,CountryName!$B:$C,2,TRUE)</f>
        <v>North America</v>
      </c>
      <c r="L99" t="s">
        <v>151</v>
      </c>
    </row>
    <row r="100" spans="1:12" x14ac:dyDescent="0.2">
      <c r="A100" s="1">
        <v>2021</v>
      </c>
      <c r="B100" t="str">
        <f>VLOOKUP(C100,References!$A$5:$B$8,2,TRUE)</f>
        <v>Entry Level</v>
      </c>
      <c r="C100" t="s">
        <v>30</v>
      </c>
      <c r="D100" t="s">
        <v>147</v>
      </c>
      <c r="E100" t="str">
        <f>VLOOKUP(F100,References!$D$1:$F$50,3,TRUE)</f>
        <v>Computer Vision</v>
      </c>
      <c r="F100" t="s">
        <v>93</v>
      </c>
      <c r="G100">
        <v>70000</v>
      </c>
      <c r="H100" t="s">
        <v>29</v>
      </c>
      <c r="I100">
        <v>100</v>
      </c>
      <c r="J100" t="s">
        <v>29</v>
      </c>
      <c r="K100" t="str">
        <f>VLOOKUP(J100,CountryName!$B:$C,2,TRUE)</f>
        <v>North America</v>
      </c>
      <c r="L100" t="s">
        <v>153</v>
      </c>
    </row>
    <row r="101" spans="1:12" x14ac:dyDescent="0.2">
      <c r="A101" s="1">
        <v>2021</v>
      </c>
      <c r="B101" t="str">
        <f>VLOOKUP(C101,References!$A$5:$B$8,2,TRUE)</f>
        <v>Mid level</v>
      </c>
      <c r="C101" t="s">
        <v>11</v>
      </c>
      <c r="D101" t="s">
        <v>147</v>
      </c>
      <c r="E101" t="str">
        <f>VLOOKUP(F101,References!$D$1:$F$50,3,TRUE)</f>
        <v>Computer Vision</v>
      </c>
      <c r="F101" t="s">
        <v>93</v>
      </c>
      <c r="G101">
        <v>95746</v>
      </c>
      <c r="H101" t="s">
        <v>15</v>
      </c>
      <c r="I101">
        <v>100</v>
      </c>
      <c r="J101" t="s">
        <v>29</v>
      </c>
      <c r="K101" t="str">
        <f>VLOOKUP(J101,CountryName!$B:$C,2,TRUE)</f>
        <v>North America</v>
      </c>
      <c r="L101" t="s">
        <v>152</v>
      </c>
    </row>
    <row r="102" spans="1:12" x14ac:dyDescent="0.2">
      <c r="A102" s="1">
        <v>2021</v>
      </c>
      <c r="B102" t="str">
        <f>VLOOKUP(C102,References!$A$5:$B$8,2,TRUE)</f>
        <v>Mid level</v>
      </c>
      <c r="C102" t="s">
        <v>11</v>
      </c>
      <c r="D102" t="s">
        <v>147</v>
      </c>
      <c r="E102" t="str">
        <f>VLOOKUP(F102,References!$D$1:$F$50,3,TRUE)</f>
        <v>Data Analyst</v>
      </c>
      <c r="F102" t="s">
        <v>31</v>
      </c>
      <c r="G102">
        <v>75000</v>
      </c>
      <c r="H102" t="s">
        <v>29</v>
      </c>
      <c r="I102">
        <v>0</v>
      </c>
      <c r="J102" t="s">
        <v>29</v>
      </c>
      <c r="K102" t="str">
        <f>VLOOKUP(J102,CountryName!$B:$C,2,TRUE)</f>
        <v>North America</v>
      </c>
      <c r="L102" t="s">
        <v>151</v>
      </c>
    </row>
    <row r="103" spans="1:12" x14ac:dyDescent="0.2">
      <c r="A103" s="1">
        <v>2021</v>
      </c>
      <c r="B103" t="str">
        <f>VLOOKUP(C103,References!$A$5:$B$8,2,TRUE)</f>
        <v>Senior Level</v>
      </c>
      <c r="C103" t="s">
        <v>17</v>
      </c>
      <c r="D103" t="s">
        <v>147</v>
      </c>
      <c r="E103" t="str">
        <f>VLOOKUP(F103,References!$D$1:$F$50,3,TRUE)</f>
        <v>Data Engineer</v>
      </c>
      <c r="F103" t="s">
        <v>43</v>
      </c>
      <c r="G103">
        <v>150000</v>
      </c>
      <c r="H103" t="s">
        <v>29</v>
      </c>
      <c r="I103">
        <v>100</v>
      </c>
      <c r="J103" t="s">
        <v>29</v>
      </c>
      <c r="K103" t="str">
        <f>VLOOKUP(J103,CountryName!$B:$C,2,TRUE)</f>
        <v>North America</v>
      </c>
      <c r="L103" t="s">
        <v>151</v>
      </c>
    </row>
    <row r="104" spans="1:12" x14ac:dyDescent="0.2">
      <c r="A104" s="1">
        <v>2021</v>
      </c>
      <c r="B104" t="str">
        <f>VLOOKUP(C104,References!$A$5:$B$8,2,TRUE)</f>
        <v>Mid level</v>
      </c>
      <c r="C104" t="s">
        <v>11</v>
      </c>
      <c r="D104" t="s">
        <v>147</v>
      </c>
      <c r="E104" t="str">
        <f>VLOOKUP(F104,References!$D$1:$F$50,3,TRUE)</f>
        <v>Data Analyst</v>
      </c>
      <c r="F104" t="s">
        <v>51</v>
      </c>
      <c r="G104">
        <v>36259</v>
      </c>
      <c r="H104" t="s">
        <v>34</v>
      </c>
      <c r="I104">
        <v>50</v>
      </c>
      <c r="J104" t="s">
        <v>29</v>
      </c>
      <c r="K104" t="str">
        <f>VLOOKUP(J104,CountryName!$B:$C,2,TRUE)</f>
        <v>North America</v>
      </c>
      <c r="L104" t="s">
        <v>151</v>
      </c>
    </row>
    <row r="105" spans="1:12" x14ac:dyDescent="0.2">
      <c r="A105" s="1">
        <v>2021</v>
      </c>
      <c r="B105" t="str">
        <f>VLOOKUP(C105,References!$A$5:$B$8,2,TRUE)</f>
        <v>Mid level</v>
      </c>
      <c r="C105" t="s">
        <v>11</v>
      </c>
      <c r="D105" t="s">
        <v>147</v>
      </c>
      <c r="E105" t="str">
        <f>VLOOKUP(F105,References!$D$1:$F$50,3,TRUE)</f>
        <v>Data Analyst</v>
      </c>
      <c r="F105" t="s">
        <v>31</v>
      </c>
      <c r="G105">
        <v>62000</v>
      </c>
      <c r="H105" t="s">
        <v>29</v>
      </c>
      <c r="I105">
        <v>0</v>
      </c>
      <c r="J105" t="s">
        <v>29</v>
      </c>
      <c r="K105" t="str">
        <f>VLOOKUP(J105,CountryName!$B:$C,2,TRUE)</f>
        <v>North America</v>
      </c>
      <c r="L105" t="s">
        <v>151</v>
      </c>
    </row>
    <row r="106" spans="1:12" x14ac:dyDescent="0.2">
      <c r="A106" s="1">
        <v>2021</v>
      </c>
      <c r="B106" t="str">
        <f>VLOOKUP(C106,References!$A$5:$B$8,2,TRUE)</f>
        <v>Mid level</v>
      </c>
      <c r="C106" t="s">
        <v>11</v>
      </c>
      <c r="D106" t="s">
        <v>147</v>
      </c>
      <c r="E106" t="str">
        <f>VLOOKUP(F106,References!$D$1:$F$50,3,TRUE)</f>
        <v>Data Scientist</v>
      </c>
      <c r="F106" t="s">
        <v>13</v>
      </c>
      <c r="G106">
        <v>73000</v>
      </c>
      <c r="H106" t="s">
        <v>29</v>
      </c>
      <c r="I106">
        <v>0</v>
      </c>
      <c r="J106" t="s">
        <v>29</v>
      </c>
      <c r="K106" t="str">
        <f>VLOOKUP(J106,CountryName!$B:$C,2,TRUE)</f>
        <v>North America</v>
      </c>
      <c r="L106" t="s">
        <v>151</v>
      </c>
    </row>
    <row r="107" spans="1:12" x14ac:dyDescent="0.2">
      <c r="A107" s="1">
        <v>2021</v>
      </c>
      <c r="B107" t="str">
        <f>VLOOKUP(C107,References!$A$5:$B$8,2,TRUE)</f>
        <v>Mid level</v>
      </c>
      <c r="C107" t="s">
        <v>11</v>
      </c>
      <c r="D107" t="s">
        <v>147</v>
      </c>
      <c r="E107" t="str">
        <f>VLOOKUP(F107,References!$D$1:$F$50,3,TRUE)</f>
        <v>Data Analyst</v>
      </c>
      <c r="F107" t="s">
        <v>31</v>
      </c>
      <c r="G107">
        <v>51519</v>
      </c>
      <c r="H107" t="s">
        <v>24</v>
      </c>
      <c r="I107">
        <v>50</v>
      </c>
      <c r="J107" t="s">
        <v>24</v>
      </c>
      <c r="K107" t="str">
        <f>VLOOKUP(J107,CountryName!$B:$C,2,TRUE)</f>
        <v>Europe</v>
      </c>
      <c r="L107" t="s">
        <v>151</v>
      </c>
    </row>
    <row r="108" spans="1:12" x14ac:dyDescent="0.2">
      <c r="A108" s="1">
        <v>2021</v>
      </c>
      <c r="B108" t="str">
        <f>VLOOKUP(C108,References!$A$5:$B$8,2,TRUE)</f>
        <v>Mid level</v>
      </c>
      <c r="C108" t="s">
        <v>11</v>
      </c>
      <c r="D108" t="s">
        <v>147</v>
      </c>
      <c r="E108" t="str">
        <f>VLOOKUP(F108,References!$D$1:$F$50,3,TRUE)</f>
        <v>Scientist</v>
      </c>
      <c r="F108" t="s">
        <v>55</v>
      </c>
      <c r="G108">
        <v>187442</v>
      </c>
      <c r="H108" t="s">
        <v>62</v>
      </c>
      <c r="I108">
        <v>100</v>
      </c>
      <c r="J108" t="s">
        <v>62</v>
      </c>
      <c r="K108" t="str">
        <f>VLOOKUP(J108,CountryName!$B:$C,2,TRUE)</f>
        <v>North America</v>
      </c>
      <c r="L108" t="s">
        <v>151</v>
      </c>
    </row>
    <row r="109" spans="1:12" x14ac:dyDescent="0.2">
      <c r="A109" s="1">
        <v>2021</v>
      </c>
      <c r="B109" t="str">
        <f>VLOOKUP(C109,References!$A$5:$B$8,2,TRUE)</f>
        <v>Senior Level</v>
      </c>
      <c r="C109" t="s">
        <v>17</v>
      </c>
      <c r="D109" t="s">
        <v>147</v>
      </c>
      <c r="E109" t="str">
        <f>VLOOKUP(F109,References!$D$1:$F$50,3,TRUE)</f>
        <v>Data Engineer</v>
      </c>
      <c r="F109" t="s">
        <v>43</v>
      </c>
      <c r="G109">
        <v>115000</v>
      </c>
      <c r="H109" t="s">
        <v>29</v>
      </c>
      <c r="I109">
        <v>100</v>
      </c>
      <c r="J109" t="s">
        <v>29</v>
      </c>
      <c r="K109" t="str">
        <f>VLOOKUP(J109,CountryName!$B:$C,2,TRUE)</f>
        <v>North America</v>
      </c>
      <c r="L109" t="s">
        <v>152</v>
      </c>
    </row>
    <row r="110" spans="1:12" x14ac:dyDescent="0.2">
      <c r="A110" s="1">
        <v>2021</v>
      </c>
      <c r="B110" t="str">
        <f>VLOOKUP(C110,References!$A$5:$B$8,2,TRUE)</f>
        <v>Senior Level</v>
      </c>
      <c r="C110" t="s">
        <v>17</v>
      </c>
      <c r="D110" t="s">
        <v>147</v>
      </c>
      <c r="E110" t="str">
        <f>VLOOKUP(F110,References!$D$1:$F$50,3,TRUE)</f>
        <v>Data Engineer</v>
      </c>
      <c r="F110" t="s">
        <v>43</v>
      </c>
      <c r="G110">
        <v>150000</v>
      </c>
      <c r="H110" t="s">
        <v>29</v>
      </c>
      <c r="I110">
        <v>100</v>
      </c>
      <c r="J110" t="s">
        <v>29</v>
      </c>
      <c r="K110" t="str">
        <f>VLOOKUP(J110,CountryName!$B:$C,2,TRUE)</f>
        <v>North America</v>
      </c>
      <c r="L110" t="s">
        <v>153</v>
      </c>
    </row>
    <row r="111" spans="1:12" x14ac:dyDescent="0.2">
      <c r="A111" s="1">
        <v>2021</v>
      </c>
      <c r="B111" t="str">
        <f>VLOOKUP(C111,References!$A$5:$B$8,2,TRUE)</f>
        <v>Entry Level</v>
      </c>
      <c r="C111" t="s">
        <v>30</v>
      </c>
      <c r="D111" t="s">
        <v>147</v>
      </c>
      <c r="E111" t="str">
        <f>VLOOKUP(F111,References!$D$1:$F$50,3,TRUE)</f>
        <v>Data Engineer</v>
      </c>
      <c r="F111" t="s">
        <v>43</v>
      </c>
      <c r="G111">
        <v>30428</v>
      </c>
      <c r="H111" t="s">
        <v>40</v>
      </c>
      <c r="I111">
        <v>100</v>
      </c>
      <c r="J111" t="s">
        <v>40</v>
      </c>
      <c r="K111" t="str">
        <f>VLOOKUP(J111,CountryName!$B:$C,2,TRUE)</f>
        <v>Asia</v>
      </c>
      <c r="L111" t="s">
        <v>151</v>
      </c>
    </row>
    <row r="112" spans="1:12" x14ac:dyDescent="0.2">
      <c r="A112" s="1">
        <v>2021</v>
      </c>
      <c r="B112" t="str">
        <f>VLOOKUP(C112,References!$A$5:$B$8,2,TRUE)</f>
        <v>Senior Level</v>
      </c>
      <c r="C112" t="s">
        <v>17</v>
      </c>
      <c r="D112" t="s">
        <v>147</v>
      </c>
      <c r="E112" t="str">
        <f>VLOOKUP(F112,References!$D$1:$F$50,3,TRUE)</f>
        <v>Machine Learning</v>
      </c>
      <c r="F112" t="s">
        <v>28</v>
      </c>
      <c r="G112">
        <v>94564</v>
      </c>
      <c r="H112" t="s">
        <v>15</v>
      </c>
      <c r="I112">
        <v>50</v>
      </c>
      <c r="J112" t="s">
        <v>15</v>
      </c>
      <c r="K112" t="str">
        <f>VLOOKUP(J112,CountryName!$B:$C,2,TRUE)</f>
        <v>Europe</v>
      </c>
      <c r="L112" t="s">
        <v>151</v>
      </c>
    </row>
    <row r="113" spans="1:12" x14ac:dyDescent="0.2">
      <c r="A113" s="1">
        <v>2021</v>
      </c>
      <c r="B113" t="str">
        <f>VLOOKUP(C113,References!$A$5:$B$8,2,TRUE)</f>
        <v>Senior Level</v>
      </c>
      <c r="C113" t="s">
        <v>17</v>
      </c>
      <c r="D113" t="s">
        <v>147</v>
      </c>
      <c r="E113" t="str">
        <f>VLOOKUP(F113,References!$D$1:$F$50,3,TRUE)</f>
        <v>Manager</v>
      </c>
      <c r="F113" t="s">
        <v>94</v>
      </c>
      <c r="G113">
        <v>113476</v>
      </c>
      <c r="H113" t="s">
        <v>24</v>
      </c>
      <c r="I113">
        <v>100</v>
      </c>
      <c r="J113" t="s">
        <v>24</v>
      </c>
      <c r="K113" t="str">
        <f>VLOOKUP(J113,CountryName!$B:$C,2,TRUE)</f>
        <v>Europe</v>
      </c>
      <c r="L113" t="s">
        <v>153</v>
      </c>
    </row>
    <row r="114" spans="1:12" x14ac:dyDescent="0.2">
      <c r="A114" s="1">
        <v>2021</v>
      </c>
      <c r="B114" t="str">
        <f>VLOOKUP(C114,References!$A$5:$B$8,2,TRUE)</f>
        <v>Senior Level</v>
      </c>
      <c r="C114" t="s">
        <v>17</v>
      </c>
      <c r="D114" t="s">
        <v>147</v>
      </c>
      <c r="E114" t="str">
        <f>VLOOKUP(F114,References!$D$1:$F$50,3,TRUE)</f>
        <v>Manager</v>
      </c>
      <c r="F114" t="s">
        <v>36</v>
      </c>
      <c r="G114">
        <v>103160</v>
      </c>
      <c r="H114" t="s">
        <v>24</v>
      </c>
      <c r="I114">
        <v>100</v>
      </c>
      <c r="J114" t="s">
        <v>24</v>
      </c>
      <c r="K114" t="str">
        <f>VLOOKUP(J114,CountryName!$B:$C,2,TRUE)</f>
        <v>Europe</v>
      </c>
      <c r="L114" t="s">
        <v>152</v>
      </c>
    </row>
    <row r="115" spans="1:12" x14ac:dyDescent="0.2">
      <c r="A115" s="1">
        <v>2021</v>
      </c>
      <c r="B115" t="str">
        <f>VLOOKUP(C115,References!$A$5:$B$8,2,TRUE)</f>
        <v>Entry Level</v>
      </c>
      <c r="C115" t="s">
        <v>30</v>
      </c>
      <c r="D115" t="s">
        <v>150</v>
      </c>
      <c r="E115" t="str">
        <f>VLOOKUP(F115,References!$D$1:$F$50,3,TRUE)</f>
        <v>Data Scientist</v>
      </c>
      <c r="F115" t="s">
        <v>70</v>
      </c>
      <c r="G115">
        <v>12000</v>
      </c>
      <c r="H115" t="s">
        <v>42</v>
      </c>
      <c r="I115">
        <v>100</v>
      </c>
      <c r="J115" t="s">
        <v>29</v>
      </c>
      <c r="K115" t="str">
        <f>VLOOKUP(J115,CountryName!$B:$C,2,TRUE)</f>
        <v>North America</v>
      </c>
      <c r="L115" t="s">
        <v>153</v>
      </c>
    </row>
    <row r="116" spans="1:12" x14ac:dyDescent="0.2">
      <c r="A116" s="1">
        <v>2021</v>
      </c>
      <c r="B116" t="str">
        <f>VLOOKUP(C116,References!$A$5:$B$8,2,TRUE)</f>
        <v>Mid level</v>
      </c>
      <c r="C116" t="s">
        <v>11</v>
      </c>
      <c r="D116" t="s">
        <v>147</v>
      </c>
      <c r="E116" t="str">
        <f>VLOOKUP(F116,References!$D$1:$F$50,3,TRUE)</f>
        <v>Data Engineer</v>
      </c>
      <c r="F116" t="s">
        <v>43</v>
      </c>
      <c r="G116">
        <v>45391</v>
      </c>
      <c r="H116" t="s">
        <v>56</v>
      </c>
      <c r="I116">
        <v>100</v>
      </c>
      <c r="J116" t="s">
        <v>56</v>
      </c>
      <c r="K116" t="str">
        <f>VLOOKUP(J116,CountryName!$B:$C,2,TRUE)</f>
        <v>Europe</v>
      </c>
      <c r="L116" t="s">
        <v>151</v>
      </c>
    </row>
    <row r="117" spans="1:12" x14ac:dyDescent="0.2">
      <c r="A117" s="1">
        <v>2021</v>
      </c>
      <c r="B117" t="str">
        <f>VLOOKUP(C117,References!$A$5:$B$8,2,TRUE)</f>
        <v>Entry Level</v>
      </c>
      <c r="C117" t="s">
        <v>30</v>
      </c>
      <c r="D117" t="s">
        <v>147</v>
      </c>
      <c r="E117" t="str">
        <f>VLOOKUP(F117,References!$D$1:$F$50,3,TRUE)</f>
        <v>Scientist</v>
      </c>
      <c r="F117" t="s">
        <v>18</v>
      </c>
      <c r="G117">
        <v>225000</v>
      </c>
      <c r="H117" t="s">
        <v>29</v>
      </c>
      <c r="I117">
        <v>100</v>
      </c>
      <c r="J117" t="s">
        <v>29</v>
      </c>
      <c r="K117" t="str">
        <f>VLOOKUP(J117,CountryName!$B:$C,2,TRUE)</f>
        <v>North America</v>
      </c>
      <c r="L117" t="s">
        <v>151</v>
      </c>
    </row>
    <row r="118" spans="1:12" x14ac:dyDescent="0.2">
      <c r="A118" s="1">
        <v>2021</v>
      </c>
      <c r="B118" t="str">
        <f>VLOOKUP(C118,References!$A$5:$B$8,2,TRUE)</f>
        <v>Mid level</v>
      </c>
      <c r="C118" t="s">
        <v>11</v>
      </c>
      <c r="D118" t="s">
        <v>147</v>
      </c>
      <c r="E118" t="str">
        <f>VLOOKUP(F118,References!$D$1:$F$50,3,TRUE)</f>
        <v>Data Scientist</v>
      </c>
      <c r="F118" t="s">
        <v>13</v>
      </c>
      <c r="G118">
        <v>50000</v>
      </c>
      <c r="H118" t="s">
        <v>65</v>
      </c>
      <c r="I118">
        <v>100</v>
      </c>
      <c r="J118" t="s">
        <v>65</v>
      </c>
      <c r="K118" t="str">
        <f>VLOOKUP(J118,CountryName!$B:$C,2,TRUE)</f>
        <v>Africa</v>
      </c>
      <c r="L118" t="s">
        <v>151</v>
      </c>
    </row>
    <row r="119" spans="1:12" x14ac:dyDescent="0.2">
      <c r="A119" s="1">
        <v>2021</v>
      </c>
      <c r="B119" t="str">
        <f>VLOOKUP(C119,References!$A$5:$B$8,2,TRUE)</f>
        <v>Mid level</v>
      </c>
      <c r="C119" t="s">
        <v>11</v>
      </c>
      <c r="D119" t="s">
        <v>147</v>
      </c>
      <c r="E119" t="str">
        <f>VLOOKUP(F119,References!$D$1:$F$50,3,TRUE)</f>
        <v>Data Engineer</v>
      </c>
      <c r="F119" t="s">
        <v>95</v>
      </c>
      <c r="G119">
        <v>40189</v>
      </c>
      <c r="H119" t="s">
        <v>50</v>
      </c>
      <c r="I119">
        <v>100</v>
      </c>
      <c r="J119" t="s">
        <v>50</v>
      </c>
      <c r="K119" t="str">
        <f>VLOOKUP(J119,CountryName!$B:$C,2,TRUE)</f>
        <v>Europe</v>
      </c>
      <c r="L119" t="s">
        <v>153</v>
      </c>
    </row>
    <row r="120" spans="1:12" x14ac:dyDescent="0.2">
      <c r="A120" s="1">
        <v>2021</v>
      </c>
      <c r="B120" t="str">
        <f>VLOOKUP(C120,References!$A$5:$B$8,2,TRUE)</f>
        <v>Entry Level</v>
      </c>
      <c r="C120" t="s">
        <v>30</v>
      </c>
      <c r="D120" t="s">
        <v>147</v>
      </c>
      <c r="E120" t="str">
        <f>VLOOKUP(F120,References!$D$1:$F$50,3,TRUE)</f>
        <v>Data Analyst</v>
      </c>
      <c r="F120" t="s">
        <v>31</v>
      </c>
      <c r="G120">
        <v>90000</v>
      </c>
      <c r="H120" t="s">
        <v>29</v>
      </c>
      <c r="I120">
        <v>100</v>
      </c>
      <c r="J120" t="s">
        <v>29</v>
      </c>
      <c r="K120" t="str">
        <f>VLOOKUP(J120,CountryName!$B:$C,2,TRUE)</f>
        <v>North America</v>
      </c>
      <c r="L120" t="s">
        <v>152</v>
      </c>
    </row>
    <row r="121" spans="1:12" x14ac:dyDescent="0.2">
      <c r="A121" s="1">
        <v>2021</v>
      </c>
      <c r="B121" t="str">
        <f>VLOOKUP(C121,References!$A$5:$B$8,2,TRUE)</f>
        <v>Mid level</v>
      </c>
      <c r="C121" t="s">
        <v>11</v>
      </c>
      <c r="D121" t="s">
        <v>147</v>
      </c>
      <c r="E121" t="str">
        <f>VLOOKUP(F121,References!$D$1:$F$50,3,TRUE)</f>
        <v>Data Engineer</v>
      </c>
      <c r="F121" t="s">
        <v>43</v>
      </c>
      <c r="G121">
        <v>200000</v>
      </c>
      <c r="H121" t="s">
        <v>29</v>
      </c>
      <c r="I121">
        <v>100</v>
      </c>
      <c r="J121" t="s">
        <v>29</v>
      </c>
      <c r="K121" t="str">
        <f>VLOOKUP(J121,CountryName!$B:$C,2,TRUE)</f>
        <v>North America</v>
      </c>
      <c r="L121" t="s">
        <v>151</v>
      </c>
    </row>
    <row r="122" spans="1:12" x14ac:dyDescent="0.2">
      <c r="A122" s="1">
        <v>2021</v>
      </c>
      <c r="B122" t="str">
        <f>VLOOKUP(C122,References!$A$5:$B$8,2,TRUE)</f>
        <v>Mid level</v>
      </c>
      <c r="C122" t="s">
        <v>11</v>
      </c>
      <c r="D122" t="s">
        <v>147</v>
      </c>
      <c r="E122" t="str">
        <f>VLOOKUP(F122,References!$D$1:$F$50,3,TRUE)</f>
        <v>Data Engineer</v>
      </c>
      <c r="F122" t="s">
        <v>22</v>
      </c>
      <c r="G122">
        <v>60000</v>
      </c>
      <c r="H122" t="s">
        <v>67</v>
      </c>
      <c r="I122">
        <v>50</v>
      </c>
      <c r="J122" t="s">
        <v>96</v>
      </c>
      <c r="K122" t="str">
        <f>VLOOKUP(J122,CountryName!$B:$C,2,TRUE)</f>
        <v>Europe</v>
      </c>
      <c r="L122" t="s">
        <v>153</v>
      </c>
    </row>
    <row r="123" spans="1:12" x14ac:dyDescent="0.2">
      <c r="A123" s="1">
        <v>2021</v>
      </c>
      <c r="B123" t="str">
        <f>VLOOKUP(C123,References!$A$5:$B$8,2,TRUE)</f>
        <v>Senior Level</v>
      </c>
      <c r="C123" t="s">
        <v>17</v>
      </c>
      <c r="D123" t="s">
        <v>147</v>
      </c>
      <c r="E123" t="str">
        <f>VLOOKUP(F123,References!$D$1:$F$50,3,TRUE)</f>
        <v>Data Engineer</v>
      </c>
      <c r="F123" t="s">
        <v>97</v>
      </c>
      <c r="G123">
        <v>200000</v>
      </c>
      <c r="H123" t="s">
        <v>29</v>
      </c>
      <c r="I123">
        <v>100</v>
      </c>
      <c r="J123" t="s">
        <v>29</v>
      </c>
      <c r="K123" t="str">
        <f>VLOOKUP(J123,CountryName!$B:$C,2,TRUE)</f>
        <v>North America</v>
      </c>
      <c r="L123" t="s">
        <v>153</v>
      </c>
    </row>
    <row r="124" spans="1:12" x14ac:dyDescent="0.2">
      <c r="A124" s="1">
        <v>2021</v>
      </c>
      <c r="B124" t="str">
        <f>VLOOKUP(C124,References!$A$5:$B$8,2,TRUE)</f>
        <v>Entry Level</v>
      </c>
      <c r="C124" t="s">
        <v>30</v>
      </c>
      <c r="D124" t="s">
        <v>147</v>
      </c>
      <c r="E124" t="str">
        <f>VLOOKUP(F124,References!$D$1:$F$50,3,TRUE)</f>
        <v>Data Analyst</v>
      </c>
      <c r="F124" t="s">
        <v>31</v>
      </c>
      <c r="G124">
        <v>50000</v>
      </c>
      <c r="H124" t="s">
        <v>29</v>
      </c>
      <c r="I124">
        <v>100</v>
      </c>
      <c r="J124" t="s">
        <v>29</v>
      </c>
      <c r="K124" t="str">
        <f>VLOOKUP(J124,CountryName!$B:$C,2,TRUE)</f>
        <v>North America</v>
      </c>
      <c r="L124" t="s">
        <v>153</v>
      </c>
    </row>
    <row r="125" spans="1:12" x14ac:dyDescent="0.2">
      <c r="A125" s="1">
        <v>2021</v>
      </c>
      <c r="B125" t="str">
        <f>VLOOKUP(C125,References!$A$5:$B$8,2,TRUE)</f>
        <v>Entry Level</v>
      </c>
      <c r="C125" t="s">
        <v>30</v>
      </c>
      <c r="D125" t="s">
        <v>147</v>
      </c>
      <c r="E125" t="str">
        <f>VLOOKUP(F125,References!$D$1:$F$50,3,TRUE)</f>
        <v>Data Scientist</v>
      </c>
      <c r="F125" t="s">
        <v>84</v>
      </c>
      <c r="G125">
        <v>110037</v>
      </c>
      <c r="H125" t="s">
        <v>24</v>
      </c>
      <c r="I125">
        <v>0</v>
      </c>
      <c r="J125" t="s">
        <v>24</v>
      </c>
      <c r="K125" t="str">
        <f>VLOOKUP(J125,CountryName!$B:$C,2,TRUE)</f>
        <v>Europe</v>
      </c>
      <c r="L125" t="s">
        <v>151</v>
      </c>
    </row>
    <row r="126" spans="1:12" x14ac:dyDescent="0.2">
      <c r="A126" s="1">
        <v>2021</v>
      </c>
      <c r="B126" t="str">
        <f>VLOOKUP(C126,References!$A$5:$B$8,2,TRUE)</f>
        <v>Entry Level</v>
      </c>
      <c r="C126" t="s">
        <v>30</v>
      </c>
      <c r="D126" t="s">
        <v>150</v>
      </c>
      <c r="E126" t="str">
        <f>VLOOKUP(F126,References!$D$1:$F$50,3,TRUE)</f>
        <v>Data Analyst</v>
      </c>
      <c r="F126" t="s">
        <v>31</v>
      </c>
      <c r="G126">
        <v>10354</v>
      </c>
      <c r="H126" t="s">
        <v>67</v>
      </c>
      <c r="I126">
        <v>50</v>
      </c>
      <c r="J126" t="s">
        <v>67</v>
      </c>
      <c r="K126" t="str">
        <f>VLOOKUP(J126,CountryName!$B:$C,2,TRUE)</f>
        <v>Europe</v>
      </c>
      <c r="L126" t="s">
        <v>153</v>
      </c>
    </row>
    <row r="127" spans="1:12" x14ac:dyDescent="0.2">
      <c r="A127" s="1">
        <v>2021</v>
      </c>
      <c r="B127" t="str">
        <f>VLOOKUP(C127,References!$A$5:$B$8,2,TRUE)</f>
        <v>Mid level</v>
      </c>
      <c r="C127" t="s">
        <v>11</v>
      </c>
      <c r="D127" t="s">
        <v>147</v>
      </c>
      <c r="E127" t="str">
        <f>VLOOKUP(F127,References!$D$1:$F$50,3,TRUE)</f>
        <v>Scientist</v>
      </c>
      <c r="F127" t="s">
        <v>76</v>
      </c>
      <c r="G127">
        <v>151000</v>
      </c>
      <c r="H127" t="s">
        <v>29</v>
      </c>
      <c r="I127">
        <v>100</v>
      </c>
      <c r="J127" t="s">
        <v>29</v>
      </c>
      <c r="K127" t="str">
        <f>VLOOKUP(J127,CountryName!$B:$C,2,TRUE)</f>
        <v>North America</v>
      </c>
      <c r="L127" t="s">
        <v>151</v>
      </c>
    </row>
    <row r="128" spans="1:12" x14ac:dyDescent="0.2">
      <c r="A128" s="1">
        <v>2021</v>
      </c>
      <c r="B128" t="str">
        <f>VLOOKUP(C128,References!$A$5:$B$8,2,TRUE)</f>
        <v>Senior Level</v>
      </c>
      <c r="C128" t="s">
        <v>17</v>
      </c>
      <c r="D128" t="s">
        <v>147</v>
      </c>
      <c r="E128" t="str">
        <f>VLOOKUP(F128,References!$D$1:$F$50,3,TRUE)</f>
        <v>Scientist</v>
      </c>
      <c r="F128" t="s">
        <v>18</v>
      </c>
      <c r="G128">
        <v>120000</v>
      </c>
      <c r="H128" t="s">
        <v>29</v>
      </c>
      <c r="I128">
        <v>50</v>
      </c>
      <c r="J128" t="s">
        <v>29</v>
      </c>
      <c r="K128" t="str">
        <f>VLOOKUP(J128,CountryName!$B:$C,2,TRUE)</f>
        <v>North America</v>
      </c>
      <c r="L128" t="s">
        <v>152</v>
      </c>
    </row>
    <row r="129" spans="1:12" x14ac:dyDescent="0.2">
      <c r="A129" s="1">
        <v>2021</v>
      </c>
      <c r="B129" t="str">
        <f>VLOOKUP(C129,References!$A$5:$B$8,2,TRUE)</f>
        <v>Mid level</v>
      </c>
      <c r="C129" t="s">
        <v>11</v>
      </c>
      <c r="D129" t="s">
        <v>147</v>
      </c>
      <c r="E129" t="str">
        <f>VLOOKUP(F129,References!$D$1:$F$50,3,TRUE)</f>
        <v>Data Scientist</v>
      </c>
      <c r="F129" t="s">
        <v>13</v>
      </c>
      <c r="G129">
        <v>9466</v>
      </c>
      <c r="H129" t="s">
        <v>40</v>
      </c>
      <c r="I129">
        <v>0</v>
      </c>
      <c r="J129" t="s">
        <v>40</v>
      </c>
      <c r="K129" t="str">
        <f>VLOOKUP(J129,CountryName!$B:$C,2,TRUE)</f>
        <v>Asia</v>
      </c>
      <c r="L129" t="s">
        <v>152</v>
      </c>
    </row>
    <row r="130" spans="1:12" x14ac:dyDescent="0.2">
      <c r="A130" s="1">
        <v>2021</v>
      </c>
      <c r="B130" t="str">
        <f>VLOOKUP(C130,References!$A$5:$B$8,2,TRUE)</f>
        <v>Entry Level</v>
      </c>
      <c r="C130" t="s">
        <v>30</v>
      </c>
      <c r="D130" t="s">
        <v>147</v>
      </c>
      <c r="E130" t="str">
        <f>VLOOKUP(F130,References!$D$1:$F$50,3,TRUE)</f>
        <v>Machine Learning</v>
      </c>
      <c r="F130" t="s">
        <v>28</v>
      </c>
      <c r="G130">
        <v>20000</v>
      </c>
      <c r="H130" t="s">
        <v>40</v>
      </c>
      <c r="I130">
        <v>100</v>
      </c>
      <c r="J130" t="s">
        <v>40</v>
      </c>
      <c r="K130" t="str">
        <f>VLOOKUP(J130,CountryName!$B:$C,2,TRUE)</f>
        <v>Asia</v>
      </c>
      <c r="L130" t="s">
        <v>152</v>
      </c>
    </row>
    <row r="131" spans="1:12" x14ac:dyDescent="0.2">
      <c r="A131" s="1">
        <v>2021</v>
      </c>
      <c r="B131" t="str">
        <f>VLOOKUP(C131,References!$A$5:$B$8,2,TRUE)</f>
        <v>Senior Level</v>
      </c>
      <c r="C131" t="s">
        <v>17</v>
      </c>
      <c r="D131" t="s">
        <v>147</v>
      </c>
      <c r="E131" t="str">
        <f>VLOOKUP(F131,References!$D$1:$F$50,3,TRUE)</f>
        <v>Manager</v>
      </c>
      <c r="F131" t="s">
        <v>32</v>
      </c>
      <c r="G131">
        <v>40570</v>
      </c>
      <c r="H131" t="s">
        <v>40</v>
      </c>
      <c r="I131">
        <v>50</v>
      </c>
      <c r="J131" t="s">
        <v>40</v>
      </c>
      <c r="K131" t="str">
        <f>VLOOKUP(J131,CountryName!$B:$C,2,TRUE)</f>
        <v>Asia</v>
      </c>
      <c r="L131" t="s">
        <v>151</v>
      </c>
    </row>
    <row r="132" spans="1:12" x14ac:dyDescent="0.2">
      <c r="A132" s="1">
        <v>2021</v>
      </c>
      <c r="B132" t="str">
        <f>VLOOKUP(C132,References!$A$5:$B$8,2,TRUE)</f>
        <v>Entry Level</v>
      </c>
      <c r="C132" t="s">
        <v>30</v>
      </c>
      <c r="D132" t="s">
        <v>147</v>
      </c>
      <c r="E132" t="str">
        <f>VLOOKUP(F132,References!$D$1:$F$50,3,TRUE)</f>
        <v>Machine Learning</v>
      </c>
      <c r="F132" t="s">
        <v>98</v>
      </c>
      <c r="G132">
        <v>100000</v>
      </c>
      <c r="H132" t="s">
        <v>99</v>
      </c>
      <c r="I132">
        <v>50</v>
      </c>
      <c r="J132" t="s">
        <v>99</v>
      </c>
      <c r="K132" t="str">
        <f>VLOOKUP(J132,CountryName!$B:$C,2,TRUE)</f>
        <v>Asia</v>
      </c>
      <c r="L132" t="s">
        <v>152</v>
      </c>
    </row>
    <row r="133" spans="1:12" x14ac:dyDescent="0.2">
      <c r="A133" s="1">
        <v>2021</v>
      </c>
      <c r="B133" t="str">
        <f>VLOOKUP(C133,References!$A$5:$B$8,2,TRUE)</f>
        <v>Entry Level</v>
      </c>
      <c r="C133" t="s">
        <v>30</v>
      </c>
      <c r="D133" t="s">
        <v>147</v>
      </c>
      <c r="E133" t="str">
        <f>VLOOKUP(F133,References!$D$1:$F$50,3,TRUE)</f>
        <v>Data Scientist</v>
      </c>
      <c r="F133" t="s">
        <v>13</v>
      </c>
      <c r="G133">
        <v>49646</v>
      </c>
      <c r="H133" t="s">
        <v>38</v>
      </c>
      <c r="I133">
        <v>50</v>
      </c>
      <c r="J133" t="s">
        <v>38</v>
      </c>
      <c r="K133" t="str">
        <f>VLOOKUP(J133,CountryName!$B:$C,2,TRUE)</f>
        <v>Europe</v>
      </c>
      <c r="L133" t="s">
        <v>153</v>
      </c>
    </row>
    <row r="134" spans="1:12" x14ac:dyDescent="0.2">
      <c r="A134" s="1">
        <v>2021</v>
      </c>
      <c r="B134" t="str">
        <f>VLOOKUP(C134,References!$A$5:$B$8,2,TRUE)</f>
        <v>Mid level</v>
      </c>
      <c r="C134" t="s">
        <v>11</v>
      </c>
      <c r="D134" t="s">
        <v>147</v>
      </c>
      <c r="E134" t="str">
        <f>VLOOKUP(F134,References!$D$1:$F$50,3,TRUE)</f>
        <v>Data Scientist</v>
      </c>
      <c r="F134" t="s">
        <v>100</v>
      </c>
      <c r="G134">
        <v>38400</v>
      </c>
      <c r="H134" t="s">
        <v>101</v>
      </c>
      <c r="I134">
        <v>100</v>
      </c>
      <c r="J134" t="s">
        <v>29</v>
      </c>
      <c r="K134" t="str">
        <f>VLOOKUP(J134,CountryName!$B:$C,2,TRUE)</f>
        <v>North America</v>
      </c>
      <c r="L134" t="s">
        <v>153</v>
      </c>
    </row>
    <row r="135" spans="1:12" x14ac:dyDescent="0.2">
      <c r="A135" s="1">
        <v>2021</v>
      </c>
      <c r="B135" t="str">
        <f>VLOOKUP(C135,References!$A$5:$B$8,2,TRUE)</f>
        <v>Senior Level</v>
      </c>
      <c r="C135" t="s">
        <v>17</v>
      </c>
      <c r="D135" t="s">
        <v>147</v>
      </c>
      <c r="E135" t="str">
        <f>VLOOKUP(F135,References!$D$1:$F$50,3,TRUE)</f>
        <v>Data Engineer</v>
      </c>
      <c r="F135" t="s">
        <v>74</v>
      </c>
      <c r="G135">
        <v>24000</v>
      </c>
      <c r="H135" t="s">
        <v>91</v>
      </c>
      <c r="I135">
        <v>100</v>
      </c>
      <c r="J135" t="s">
        <v>91</v>
      </c>
      <c r="K135" t="str">
        <f>VLOOKUP(J135,CountryName!$B:$C,2,TRUE)</f>
        <v>South America</v>
      </c>
      <c r="L135" t="s">
        <v>153</v>
      </c>
    </row>
    <row r="136" spans="1:12" x14ac:dyDescent="0.2">
      <c r="A136" s="1">
        <v>2021</v>
      </c>
      <c r="B136" t="str">
        <f>VLOOKUP(C136,References!$A$5:$B$8,2,TRUE)</f>
        <v>Entry Level</v>
      </c>
      <c r="C136" t="s">
        <v>30</v>
      </c>
      <c r="D136" t="s">
        <v>147</v>
      </c>
      <c r="E136" t="str">
        <f>VLOOKUP(F136,References!$D$1:$F$50,3,TRUE)</f>
        <v>Data Scientist</v>
      </c>
      <c r="F136" t="s">
        <v>13</v>
      </c>
      <c r="G136">
        <v>100000</v>
      </c>
      <c r="H136" t="s">
        <v>29</v>
      </c>
      <c r="I136">
        <v>0</v>
      </c>
      <c r="J136" t="s">
        <v>29</v>
      </c>
      <c r="K136" t="str">
        <f>VLOOKUP(J136,CountryName!$B:$C,2,TRUE)</f>
        <v>North America</v>
      </c>
      <c r="L136" t="s">
        <v>152</v>
      </c>
    </row>
    <row r="137" spans="1:12" x14ac:dyDescent="0.2">
      <c r="A137" s="1">
        <v>2021</v>
      </c>
      <c r="B137" t="str">
        <f>VLOOKUP(C137,References!$A$5:$B$8,2,TRUE)</f>
        <v>Mid level</v>
      </c>
      <c r="C137" t="s">
        <v>11</v>
      </c>
      <c r="D137" t="s">
        <v>147</v>
      </c>
      <c r="E137" t="str">
        <f>VLOOKUP(F137,References!$D$1:$F$50,3,TRUE)</f>
        <v>Data Analyst</v>
      </c>
      <c r="F137" t="s">
        <v>31</v>
      </c>
      <c r="G137">
        <v>90000</v>
      </c>
      <c r="H137" t="s">
        <v>29</v>
      </c>
      <c r="I137">
        <v>100</v>
      </c>
      <c r="J137" t="s">
        <v>29</v>
      </c>
      <c r="K137" t="str">
        <f>VLOOKUP(J137,CountryName!$B:$C,2,TRUE)</f>
        <v>North America</v>
      </c>
      <c r="L137" t="s">
        <v>153</v>
      </c>
    </row>
    <row r="138" spans="1:12" x14ac:dyDescent="0.2">
      <c r="A138" s="1">
        <v>2021</v>
      </c>
      <c r="B138" t="str">
        <f>VLOOKUP(C138,References!$A$5:$B$8,2,TRUE)</f>
        <v>Mid level</v>
      </c>
      <c r="C138" t="s">
        <v>11</v>
      </c>
      <c r="D138" t="s">
        <v>147</v>
      </c>
      <c r="E138" t="str">
        <f>VLOOKUP(F138,References!$D$1:$F$50,3,TRUE)</f>
        <v>Machine Learning</v>
      </c>
      <c r="F138" t="s">
        <v>69</v>
      </c>
      <c r="G138">
        <v>63711</v>
      </c>
      <c r="H138" t="s">
        <v>20</v>
      </c>
      <c r="I138">
        <v>50</v>
      </c>
      <c r="J138" t="s">
        <v>20</v>
      </c>
      <c r="K138" t="str">
        <f>VLOOKUP(J138,CountryName!$B:$C,2,TRUE)</f>
        <v>Asia</v>
      </c>
      <c r="L138" t="s">
        <v>152</v>
      </c>
    </row>
    <row r="139" spans="1:12" x14ac:dyDescent="0.2">
      <c r="A139" s="1">
        <v>2021</v>
      </c>
      <c r="B139" t="str">
        <f>VLOOKUP(C139,References!$A$5:$B$8,2,TRUE)</f>
        <v>Mid level</v>
      </c>
      <c r="C139" t="s">
        <v>11</v>
      </c>
      <c r="D139" t="s">
        <v>147</v>
      </c>
      <c r="E139" t="str">
        <f>VLOOKUP(F139,References!$D$1:$F$50,3,TRUE)</f>
        <v>Machine Learning</v>
      </c>
      <c r="F139" t="s">
        <v>69</v>
      </c>
      <c r="G139">
        <v>77364</v>
      </c>
      <c r="H139" t="s">
        <v>20</v>
      </c>
      <c r="I139">
        <v>50</v>
      </c>
      <c r="J139" t="s">
        <v>20</v>
      </c>
      <c r="K139" t="str">
        <f>VLOOKUP(J139,CountryName!$B:$C,2,TRUE)</f>
        <v>Asia</v>
      </c>
      <c r="L139" t="s">
        <v>152</v>
      </c>
    </row>
    <row r="140" spans="1:12" x14ac:dyDescent="0.2">
      <c r="A140" s="1">
        <v>2021</v>
      </c>
      <c r="B140" t="str">
        <f>VLOOKUP(C140,References!$A$5:$B$8,2,TRUE)</f>
        <v>Senior Level</v>
      </c>
      <c r="C140" t="s">
        <v>17</v>
      </c>
      <c r="D140" t="s">
        <v>147</v>
      </c>
      <c r="E140" t="str">
        <f>VLOOKUP(F140,References!$D$1:$F$50,3,TRUE)</f>
        <v>Scientist</v>
      </c>
      <c r="F140" t="s">
        <v>76</v>
      </c>
      <c r="G140">
        <v>220000</v>
      </c>
      <c r="H140" t="s">
        <v>29</v>
      </c>
      <c r="I140">
        <v>0</v>
      </c>
      <c r="J140" t="s">
        <v>29</v>
      </c>
      <c r="K140" t="str">
        <f>VLOOKUP(J140,CountryName!$B:$C,2,TRUE)</f>
        <v>North America</v>
      </c>
      <c r="L140" t="s">
        <v>151</v>
      </c>
    </row>
    <row r="141" spans="1:12" x14ac:dyDescent="0.2">
      <c r="A141" s="1">
        <v>2021</v>
      </c>
      <c r="B141" t="str">
        <f>VLOOKUP(C141,References!$A$5:$B$8,2,TRUE)</f>
        <v>Entry Level</v>
      </c>
      <c r="C141" t="s">
        <v>30</v>
      </c>
      <c r="D141" t="s">
        <v>147</v>
      </c>
      <c r="E141" t="str">
        <f>VLOOKUP(F141,References!$D$1:$F$50,3,TRUE)</f>
        <v>Data Scientist</v>
      </c>
      <c r="F141" t="s">
        <v>13</v>
      </c>
      <c r="G141">
        <v>80000</v>
      </c>
      <c r="H141" t="s">
        <v>29</v>
      </c>
      <c r="I141">
        <v>100</v>
      </c>
      <c r="J141" t="s">
        <v>29</v>
      </c>
      <c r="K141" t="str">
        <f>VLOOKUP(J141,CountryName!$B:$C,2,TRUE)</f>
        <v>North America</v>
      </c>
      <c r="L141" t="s">
        <v>153</v>
      </c>
    </row>
    <row r="142" spans="1:12" x14ac:dyDescent="0.2">
      <c r="A142" s="1">
        <v>2021</v>
      </c>
      <c r="B142" t="str">
        <f>VLOOKUP(C142,References!$A$5:$B$8,2,TRUE)</f>
        <v>Mid level</v>
      </c>
      <c r="C142" t="s">
        <v>11</v>
      </c>
      <c r="D142" t="s">
        <v>147</v>
      </c>
      <c r="E142" t="str">
        <f>VLOOKUP(F142,References!$D$1:$F$50,3,TRUE)</f>
        <v>Data Analyst</v>
      </c>
      <c r="F142" t="s">
        <v>31</v>
      </c>
      <c r="G142">
        <v>135000</v>
      </c>
      <c r="H142" t="s">
        <v>29</v>
      </c>
      <c r="I142">
        <v>100</v>
      </c>
      <c r="J142" t="s">
        <v>29</v>
      </c>
      <c r="K142" t="str">
        <f>VLOOKUP(J142,CountryName!$B:$C,2,TRUE)</f>
        <v>North America</v>
      </c>
      <c r="L142" t="s">
        <v>151</v>
      </c>
    </row>
    <row r="143" spans="1:12" x14ac:dyDescent="0.2">
      <c r="A143" s="1">
        <v>2021</v>
      </c>
      <c r="B143" t="str">
        <f>VLOOKUP(C143,References!$A$5:$B$8,2,TRUE)</f>
        <v>Senior Level</v>
      </c>
      <c r="C143" t="s">
        <v>17</v>
      </c>
      <c r="D143" t="s">
        <v>147</v>
      </c>
      <c r="E143" t="str">
        <f>VLOOKUP(F143,References!$D$1:$F$50,3,TRUE)</f>
        <v>Manager</v>
      </c>
      <c r="F143" t="s">
        <v>79</v>
      </c>
      <c r="G143">
        <v>240000</v>
      </c>
      <c r="H143" t="s">
        <v>29</v>
      </c>
      <c r="I143">
        <v>0</v>
      </c>
      <c r="J143" t="s">
        <v>29</v>
      </c>
      <c r="K143" t="str">
        <f>VLOOKUP(J143,CountryName!$B:$C,2,TRUE)</f>
        <v>North America</v>
      </c>
      <c r="L143" t="s">
        <v>151</v>
      </c>
    </row>
    <row r="144" spans="1:12" x14ac:dyDescent="0.2">
      <c r="A144" s="1">
        <v>2021</v>
      </c>
      <c r="B144" t="str">
        <f>VLOOKUP(C144,References!$A$5:$B$8,2,TRUE)</f>
        <v>Senior Level</v>
      </c>
      <c r="C144" t="s">
        <v>17</v>
      </c>
      <c r="D144" t="s">
        <v>147</v>
      </c>
      <c r="E144" t="str">
        <f>VLOOKUP(F144,References!$D$1:$F$50,3,TRUE)</f>
        <v>Manager</v>
      </c>
      <c r="F144" t="s">
        <v>63</v>
      </c>
      <c r="G144">
        <v>150000</v>
      </c>
      <c r="H144" t="s">
        <v>29</v>
      </c>
      <c r="I144">
        <v>0</v>
      </c>
      <c r="J144" t="s">
        <v>29</v>
      </c>
      <c r="K144" t="str">
        <f>VLOOKUP(J144,CountryName!$B:$C,2,TRUE)</f>
        <v>North America</v>
      </c>
      <c r="L144" t="s">
        <v>151</v>
      </c>
    </row>
    <row r="145" spans="1:12" x14ac:dyDescent="0.2">
      <c r="A145" s="1">
        <v>2021</v>
      </c>
      <c r="B145" t="str">
        <f>VLOOKUP(C145,References!$A$5:$B$8,2,TRUE)</f>
        <v>Mid level</v>
      </c>
      <c r="C145" t="s">
        <v>11</v>
      </c>
      <c r="D145" t="s">
        <v>147</v>
      </c>
      <c r="E145" t="str">
        <f>VLOOKUP(F145,References!$D$1:$F$50,3,TRUE)</f>
        <v>Data Scientist</v>
      </c>
      <c r="F145" t="s">
        <v>13</v>
      </c>
      <c r="G145">
        <v>82500</v>
      </c>
      <c r="H145" t="s">
        <v>29</v>
      </c>
      <c r="I145">
        <v>100</v>
      </c>
      <c r="J145" t="s">
        <v>29</v>
      </c>
      <c r="K145" t="str">
        <f>VLOOKUP(J145,CountryName!$B:$C,2,TRUE)</f>
        <v>North America</v>
      </c>
      <c r="L145" t="s">
        <v>152</v>
      </c>
    </row>
    <row r="146" spans="1:12" x14ac:dyDescent="0.2">
      <c r="A146" s="1">
        <v>2021</v>
      </c>
      <c r="B146" t="str">
        <f>VLOOKUP(C146,References!$A$5:$B$8,2,TRUE)</f>
        <v>Mid level</v>
      </c>
      <c r="C146" t="s">
        <v>11</v>
      </c>
      <c r="D146" t="s">
        <v>147</v>
      </c>
      <c r="E146" t="str">
        <f>VLOOKUP(F146,References!$D$1:$F$50,3,TRUE)</f>
        <v>Data Engineer</v>
      </c>
      <c r="F146" t="s">
        <v>43</v>
      </c>
      <c r="G146">
        <v>100000</v>
      </c>
      <c r="H146" t="s">
        <v>29</v>
      </c>
      <c r="I146">
        <v>100</v>
      </c>
      <c r="J146" t="s">
        <v>29</v>
      </c>
      <c r="K146" t="str">
        <f>VLOOKUP(J146,CountryName!$B:$C,2,TRUE)</f>
        <v>North America</v>
      </c>
      <c r="L146" t="s">
        <v>151</v>
      </c>
    </row>
    <row r="147" spans="1:12" x14ac:dyDescent="0.2">
      <c r="A147" s="1">
        <v>2021</v>
      </c>
      <c r="B147" t="str">
        <f>VLOOKUP(C147,References!$A$5:$B$8,2,TRUE)</f>
        <v>Senior Level</v>
      </c>
      <c r="C147" t="s">
        <v>17</v>
      </c>
      <c r="D147" t="s">
        <v>147</v>
      </c>
      <c r="E147" t="str">
        <f>VLOOKUP(F147,References!$D$1:$F$50,3,TRUE)</f>
        <v>Machine Learning</v>
      </c>
      <c r="F147" t="s">
        <v>28</v>
      </c>
      <c r="G147">
        <v>82744</v>
      </c>
      <c r="H147" t="s">
        <v>102</v>
      </c>
      <c r="I147">
        <v>50</v>
      </c>
      <c r="J147" t="s">
        <v>102</v>
      </c>
      <c r="K147" t="str">
        <f>VLOOKUP(J147,CountryName!$B:$C,2,TRUE)</f>
        <v>Europe</v>
      </c>
      <c r="L147" t="s">
        <v>153</v>
      </c>
    </row>
    <row r="148" spans="1:12" x14ac:dyDescent="0.2">
      <c r="A148" s="1">
        <v>2021</v>
      </c>
      <c r="B148" t="str">
        <f>VLOOKUP(C148,References!$A$5:$B$8,2,TRUE)</f>
        <v>Mid level</v>
      </c>
      <c r="C148" t="s">
        <v>11</v>
      </c>
      <c r="D148" t="s">
        <v>147</v>
      </c>
      <c r="E148" t="str">
        <f>VLOOKUP(F148,References!$D$1:$F$50,3,TRUE)</f>
        <v>Scientist</v>
      </c>
      <c r="F148" t="s">
        <v>55</v>
      </c>
      <c r="G148">
        <v>62649</v>
      </c>
      <c r="H148" t="s">
        <v>38</v>
      </c>
      <c r="I148">
        <v>50</v>
      </c>
      <c r="J148" t="s">
        <v>38</v>
      </c>
      <c r="K148" t="str">
        <f>VLOOKUP(J148,CountryName!$B:$C,2,TRUE)</f>
        <v>Europe</v>
      </c>
      <c r="L148" t="s">
        <v>153</v>
      </c>
    </row>
    <row r="149" spans="1:12" x14ac:dyDescent="0.2">
      <c r="A149" s="1">
        <v>2021</v>
      </c>
      <c r="B149" t="str">
        <f>VLOOKUP(C149,References!$A$5:$B$8,2,TRUE)</f>
        <v>Mid level</v>
      </c>
      <c r="C149" t="s">
        <v>11</v>
      </c>
      <c r="D149" t="s">
        <v>147</v>
      </c>
      <c r="E149" t="str">
        <f>VLOOKUP(F149,References!$D$1:$F$50,3,TRUE)</f>
        <v>Data Engineer</v>
      </c>
      <c r="F149" t="s">
        <v>43</v>
      </c>
      <c r="G149">
        <v>90000</v>
      </c>
      <c r="H149" t="s">
        <v>29</v>
      </c>
      <c r="I149">
        <v>100</v>
      </c>
      <c r="J149" t="s">
        <v>29</v>
      </c>
      <c r="K149" t="str">
        <f>VLOOKUP(J149,CountryName!$B:$C,2,TRUE)</f>
        <v>North America</v>
      </c>
      <c r="L149" t="s">
        <v>151</v>
      </c>
    </row>
    <row r="150" spans="1:12" x14ac:dyDescent="0.2">
      <c r="A150" s="1">
        <v>2021</v>
      </c>
      <c r="B150" t="str">
        <f>VLOOKUP(C150,References!$A$5:$B$8,2,TRUE)</f>
        <v>Senior Level</v>
      </c>
      <c r="C150" t="s">
        <v>17</v>
      </c>
      <c r="D150" t="s">
        <v>147</v>
      </c>
      <c r="E150" t="str">
        <f>VLOOKUP(F150,References!$D$1:$F$50,3,TRUE)</f>
        <v>Manager</v>
      </c>
      <c r="F150" t="s">
        <v>63</v>
      </c>
      <c r="G150">
        <v>153000</v>
      </c>
      <c r="H150" t="s">
        <v>29</v>
      </c>
      <c r="I150">
        <v>100</v>
      </c>
      <c r="J150" t="s">
        <v>29</v>
      </c>
      <c r="K150" t="str">
        <f>VLOOKUP(J150,CountryName!$B:$C,2,TRUE)</f>
        <v>North America</v>
      </c>
      <c r="L150" t="s">
        <v>151</v>
      </c>
    </row>
    <row r="151" spans="1:12" x14ac:dyDescent="0.2">
      <c r="A151" s="1">
        <v>2021</v>
      </c>
      <c r="B151" t="str">
        <f>VLOOKUP(C151,References!$A$5:$B$8,2,TRUE)</f>
        <v>Senior Level</v>
      </c>
      <c r="C151" t="s">
        <v>17</v>
      </c>
      <c r="D151" t="s">
        <v>147</v>
      </c>
      <c r="E151" t="str">
        <f>VLOOKUP(F151,References!$D$1:$F$50,3,TRUE)</f>
        <v>Data Engineer</v>
      </c>
      <c r="F151" t="s">
        <v>88</v>
      </c>
      <c r="G151">
        <v>160000</v>
      </c>
      <c r="H151" t="s">
        <v>91</v>
      </c>
      <c r="I151">
        <v>100</v>
      </c>
      <c r="J151" t="s">
        <v>29</v>
      </c>
      <c r="K151" t="str">
        <f>VLOOKUP(J151,CountryName!$B:$C,2,TRUE)</f>
        <v>North America</v>
      </c>
      <c r="L151" t="s">
        <v>152</v>
      </c>
    </row>
    <row r="152" spans="1:12" x14ac:dyDescent="0.2">
      <c r="A152" s="1">
        <v>2021</v>
      </c>
      <c r="B152" t="str">
        <f>VLOOKUP(C152,References!$A$5:$B$8,2,TRUE)</f>
        <v>Senior Level</v>
      </c>
      <c r="C152" t="s">
        <v>17</v>
      </c>
      <c r="D152" t="s">
        <v>147</v>
      </c>
      <c r="E152" t="str">
        <f>VLOOKUP(F152,References!$D$1:$F$50,3,TRUE)</f>
        <v>Manager</v>
      </c>
      <c r="F152" t="s">
        <v>54</v>
      </c>
      <c r="G152">
        <v>168000</v>
      </c>
      <c r="H152" t="s">
        <v>20</v>
      </c>
      <c r="I152">
        <v>0</v>
      </c>
      <c r="J152" t="s">
        <v>20</v>
      </c>
      <c r="K152" t="str">
        <f>VLOOKUP(J152,CountryName!$B:$C,2,TRUE)</f>
        <v>Asia</v>
      </c>
      <c r="L152" t="s">
        <v>152</v>
      </c>
    </row>
    <row r="153" spans="1:12" x14ac:dyDescent="0.2">
      <c r="A153" s="1">
        <v>2021</v>
      </c>
      <c r="B153" t="str">
        <f>VLOOKUP(C153,References!$A$5:$B$8,2,TRUE)</f>
        <v>Mid level</v>
      </c>
      <c r="C153" t="s">
        <v>11</v>
      </c>
      <c r="D153" t="s">
        <v>147</v>
      </c>
      <c r="E153" t="str">
        <f>VLOOKUP(F153,References!$D$1:$F$50,3,TRUE)</f>
        <v>Data Scientist</v>
      </c>
      <c r="F153" t="s">
        <v>13</v>
      </c>
      <c r="G153">
        <v>150000</v>
      </c>
      <c r="H153" t="s">
        <v>29</v>
      </c>
      <c r="I153">
        <v>100</v>
      </c>
      <c r="J153" t="s">
        <v>29</v>
      </c>
      <c r="K153" t="str">
        <f>VLOOKUP(J153,CountryName!$B:$C,2,TRUE)</f>
        <v>North America</v>
      </c>
      <c r="L153" t="s">
        <v>153</v>
      </c>
    </row>
    <row r="154" spans="1:12" x14ac:dyDescent="0.2">
      <c r="A154" s="1">
        <v>2021</v>
      </c>
      <c r="B154" t="str">
        <f>VLOOKUP(C154,References!$A$5:$B$8,2,TRUE)</f>
        <v>Mid level</v>
      </c>
      <c r="C154" t="s">
        <v>11</v>
      </c>
      <c r="D154" t="s">
        <v>147</v>
      </c>
      <c r="E154" t="str">
        <f>VLOOKUP(F154,References!$D$1:$F$50,3,TRUE)</f>
        <v>Data Scientist</v>
      </c>
      <c r="F154" t="s">
        <v>13</v>
      </c>
      <c r="G154">
        <v>75774</v>
      </c>
      <c r="H154" t="s">
        <v>62</v>
      </c>
      <c r="I154">
        <v>100</v>
      </c>
      <c r="J154" t="s">
        <v>62</v>
      </c>
      <c r="K154" t="str">
        <f>VLOOKUP(J154,CountryName!$B:$C,2,TRUE)</f>
        <v>North America</v>
      </c>
      <c r="L154" t="s">
        <v>151</v>
      </c>
    </row>
    <row r="155" spans="1:12" x14ac:dyDescent="0.2">
      <c r="A155" s="1">
        <v>2021</v>
      </c>
      <c r="B155" t="str">
        <f>VLOOKUP(C155,References!$A$5:$B$8,2,TRUE)</f>
        <v>Entry Level</v>
      </c>
      <c r="C155" t="s">
        <v>30</v>
      </c>
      <c r="D155" t="s">
        <v>147</v>
      </c>
      <c r="E155" t="str">
        <f>VLOOKUP(F155,References!$D$1:$F$50,3,TRUE)</f>
        <v>Data Scientist</v>
      </c>
      <c r="F155" t="s">
        <v>13</v>
      </c>
      <c r="G155">
        <v>13400</v>
      </c>
      <c r="H155" t="s">
        <v>103</v>
      </c>
      <c r="I155">
        <v>100</v>
      </c>
      <c r="J155" t="s">
        <v>103</v>
      </c>
      <c r="K155" t="str">
        <f>VLOOKUP(J155,CountryName!$B:$C,2,TRUE)</f>
        <v>Europe</v>
      </c>
      <c r="L155" t="s">
        <v>151</v>
      </c>
    </row>
    <row r="156" spans="1:12" x14ac:dyDescent="0.2">
      <c r="A156" s="1">
        <v>2021</v>
      </c>
      <c r="B156" t="str">
        <f>VLOOKUP(C156,References!$A$5:$B$8,2,TRUE)</f>
        <v>Senior Level</v>
      </c>
      <c r="C156" t="s">
        <v>17</v>
      </c>
      <c r="D156" t="s">
        <v>147</v>
      </c>
      <c r="E156" t="str">
        <f>VLOOKUP(F156,References!$D$1:$F$50,3,TRUE)</f>
        <v>Manager</v>
      </c>
      <c r="F156" t="s">
        <v>79</v>
      </c>
      <c r="G156">
        <v>144000</v>
      </c>
      <c r="H156" t="s">
        <v>29</v>
      </c>
      <c r="I156">
        <v>100</v>
      </c>
      <c r="J156" t="s">
        <v>29</v>
      </c>
      <c r="K156" t="str">
        <f>VLOOKUP(J156,CountryName!$B:$C,2,TRUE)</f>
        <v>North America</v>
      </c>
      <c r="L156" t="s">
        <v>151</v>
      </c>
    </row>
    <row r="157" spans="1:12" x14ac:dyDescent="0.2">
      <c r="A157" s="1">
        <v>2021</v>
      </c>
      <c r="B157" t="str">
        <f>VLOOKUP(C157,References!$A$5:$B$8,2,TRUE)</f>
        <v>Senior Level</v>
      </c>
      <c r="C157" t="s">
        <v>17</v>
      </c>
      <c r="D157" t="s">
        <v>147</v>
      </c>
      <c r="E157" t="str">
        <f>VLOOKUP(F157,References!$D$1:$F$50,3,TRUE)</f>
        <v>Data Engineer</v>
      </c>
      <c r="F157" t="s">
        <v>95</v>
      </c>
      <c r="G157">
        <v>127221</v>
      </c>
      <c r="H157" t="s">
        <v>62</v>
      </c>
      <c r="I157">
        <v>50</v>
      </c>
      <c r="J157" t="s">
        <v>62</v>
      </c>
      <c r="K157" t="str">
        <f>VLOOKUP(J157,CountryName!$B:$C,2,TRUE)</f>
        <v>North America</v>
      </c>
      <c r="L157" t="s">
        <v>151</v>
      </c>
    </row>
    <row r="158" spans="1:12" x14ac:dyDescent="0.2">
      <c r="A158" s="1">
        <v>2021</v>
      </c>
      <c r="B158" t="str">
        <f>VLOOKUP(C158,References!$A$5:$B$8,2,TRUE)</f>
        <v>Mid level</v>
      </c>
      <c r="C158" t="s">
        <v>11</v>
      </c>
      <c r="D158" t="s">
        <v>147</v>
      </c>
      <c r="E158" t="str">
        <f>VLOOKUP(F158,References!$D$1:$F$50,3,TRUE)</f>
        <v>Data Scientist</v>
      </c>
      <c r="F158" t="s">
        <v>13</v>
      </c>
      <c r="G158">
        <v>119059</v>
      </c>
      <c r="H158" t="s">
        <v>90</v>
      </c>
      <c r="I158">
        <v>100</v>
      </c>
      <c r="J158" t="s">
        <v>104</v>
      </c>
      <c r="K158" t="str">
        <f>VLOOKUP(J158,CountryName!$B:$C,2,TRUE)</f>
        <v>Asia</v>
      </c>
      <c r="L158" t="s">
        <v>153</v>
      </c>
    </row>
    <row r="159" spans="1:12" x14ac:dyDescent="0.2">
      <c r="A159" s="1">
        <v>2021</v>
      </c>
      <c r="B159" t="str">
        <f>VLOOKUP(C159,References!$A$5:$B$8,2,TRUE)</f>
        <v>Mid level</v>
      </c>
      <c r="C159" t="s">
        <v>11</v>
      </c>
      <c r="D159" t="s">
        <v>147</v>
      </c>
      <c r="E159" t="str">
        <f>VLOOKUP(F159,References!$D$1:$F$50,3,TRUE)</f>
        <v>Data Scientist</v>
      </c>
      <c r="F159" t="s">
        <v>100</v>
      </c>
      <c r="G159">
        <v>423000</v>
      </c>
      <c r="H159" t="s">
        <v>29</v>
      </c>
      <c r="I159">
        <v>50</v>
      </c>
      <c r="J159" t="s">
        <v>29</v>
      </c>
      <c r="K159" t="str">
        <f>VLOOKUP(J159,CountryName!$B:$C,2,TRUE)</f>
        <v>North America</v>
      </c>
      <c r="L159" t="s">
        <v>151</v>
      </c>
    </row>
    <row r="160" spans="1:12" x14ac:dyDescent="0.2">
      <c r="A160" s="1">
        <v>2021</v>
      </c>
      <c r="B160" t="str">
        <f>VLOOKUP(C160,References!$A$5:$B$8,2,TRUE)</f>
        <v>Senior Level</v>
      </c>
      <c r="C160" t="s">
        <v>17</v>
      </c>
      <c r="D160" t="s">
        <v>147</v>
      </c>
      <c r="E160" t="str">
        <f>VLOOKUP(F160,References!$D$1:$F$50,3,TRUE)</f>
        <v>Manager</v>
      </c>
      <c r="F160" t="s">
        <v>105</v>
      </c>
      <c r="G160">
        <v>120000</v>
      </c>
      <c r="H160" t="s">
        <v>29</v>
      </c>
      <c r="I160">
        <v>100</v>
      </c>
      <c r="J160" t="s">
        <v>29</v>
      </c>
      <c r="K160" t="str">
        <f>VLOOKUP(J160,CountryName!$B:$C,2,TRUE)</f>
        <v>North America</v>
      </c>
      <c r="L160" t="s">
        <v>153</v>
      </c>
    </row>
    <row r="161" spans="1:12" x14ac:dyDescent="0.2">
      <c r="A161" s="1">
        <v>2021</v>
      </c>
      <c r="B161" t="str">
        <f>VLOOKUP(C161,References!$A$5:$B$8,2,TRUE)</f>
        <v>Entry Level</v>
      </c>
      <c r="C161" t="s">
        <v>30</v>
      </c>
      <c r="D161" t="s">
        <v>147</v>
      </c>
      <c r="E161" t="str">
        <f>VLOOKUP(F161,References!$D$1:$F$50,3,TRUE)</f>
        <v>Machine Learning</v>
      </c>
      <c r="F161" t="s">
        <v>28</v>
      </c>
      <c r="G161">
        <v>125000</v>
      </c>
      <c r="H161" t="s">
        <v>29</v>
      </c>
      <c r="I161">
        <v>100</v>
      </c>
      <c r="J161" t="s">
        <v>29</v>
      </c>
      <c r="K161" t="str">
        <f>VLOOKUP(J161,CountryName!$B:$C,2,TRUE)</f>
        <v>North America</v>
      </c>
      <c r="L161" t="s">
        <v>152</v>
      </c>
    </row>
    <row r="162" spans="1:12" x14ac:dyDescent="0.2">
      <c r="A162" s="1">
        <v>2021</v>
      </c>
      <c r="B162" t="str">
        <f>VLOOKUP(C162,References!$A$5:$B$8,2,TRUE)</f>
        <v>Expert Level</v>
      </c>
      <c r="C162" t="s">
        <v>53</v>
      </c>
      <c r="D162" t="s">
        <v>147</v>
      </c>
      <c r="E162" t="str">
        <f>VLOOKUP(F162,References!$D$1:$F$50,3,TRUE)</f>
        <v>Manager</v>
      </c>
      <c r="F162" t="s">
        <v>81</v>
      </c>
      <c r="G162">
        <v>230000</v>
      </c>
      <c r="H162" t="s">
        <v>75</v>
      </c>
      <c r="I162">
        <v>50</v>
      </c>
      <c r="J162" t="s">
        <v>75</v>
      </c>
      <c r="K162" t="str">
        <f>VLOOKUP(J162,CountryName!$B:$C,2,TRUE)</f>
        <v>Europe</v>
      </c>
      <c r="L162" t="s">
        <v>151</v>
      </c>
    </row>
    <row r="163" spans="1:12" x14ac:dyDescent="0.2">
      <c r="A163" s="1">
        <v>2021</v>
      </c>
      <c r="B163" t="str">
        <f>VLOOKUP(C163,References!$A$5:$B$8,2,TRUE)</f>
        <v>Expert Level</v>
      </c>
      <c r="C163" t="s">
        <v>53</v>
      </c>
      <c r="D163" t="s">
        <v>147</v>
      </c>
      <c r="E163" t="str">
        <f>VLOOKUP(F163,References!$D$1:$F$50,3,TRUE)</f>
        <v>Manager</v>
      </c>
      <c r="F163" t="s">
        <v>106</v>
      </c>
      <c r="G163">
        <v>85000</v>
      </c>
      <c r="H163" t="s">
        <v>75</v>
      </c>
      <c r="I163">
        <v>0</v>
      </c>
      <c r="J163" t="s">
        <v>75</v>
      </c>
      <c r="K163" t="str">
        <f>VLOOKUP(J163,CountryName!$B:$C,2,TRUE)</f>
        <v>Europe</v>
      </c>
      <c r="L163" t="s">
        <v>153</v>
      </c>
    </row>
    <row r="164" spans="1:12" x14ac:dyDescent="0.2">
      <c r="A164" s="1">
        <v>2021</v>
      </c>
      <c r="B164" t="str">
        <f>VLOOKUP(C164,References!$A$5:$B$8,2,TRUE)</f>
        <v>Mid level</v>
      </c>
      <c r="C164" t="s">
        <v>11</v>
      </c>
      <c r="D164" t="s">
        <v>147</v>
      </c>
      <c r="E164" t="str">
        <f>VLOOKUP(F164,References!$D$1:$F$50,3,TRUE)</f>
        <v>Data Engineer</v>
      </c>
      <c r="F164" t="s">
        <v>43</v>
      </c>
      <c r="G164">
        <v>28369</v>
      </c>
      <c r="H164" t="s">
        <v>107</v>
      </c>
      <c r="I164">
        <v>50</v>
      </c>
      <c r="J164" t="s">
        <v>107</v>
      </c>
      <c r="K164" t="str">
        <f>VLOOKUP(J164,CountryName!$B:$C,2,TRUE)</f>
        <v>Europe</v>
      </c>
      <c r="L164" t="s">
        <v>151</v>
      </c>
    </row>
    <row r="165" spans="1:12" x14ac:dyDescent="0.2">
      <c r="A165" s="1">
        <v>2021</v>
      </c>
      <c r="B165" t="str">
        <f>VLOOKUP(C165,References!$A$5:$B$8,2,TRUE)</f>
        <v>Entry Level</v>
      </c>
      <c r="C165" t="s">
        <v>30</v>
      </c>
      <c r="D165" t="s">
        <v>147</v>
      </c>
      <c r="E165" t="str">
        <f>VLOOKUP(F165,References!$D$1:$F$50,3,TRUE)</f>
        <v>Data Analyst</v>
      </c>
      <c r="F165" t="s">
        <v>46</v>
      </c>
      <c r="G165">
        <v>63831</v>
      </c>
      <c r="H165" t="s">
        <v>15</v>
      </c>
      <c r="I165">
        <v>50</v>
      </c>
      <c r="J165" t="s">
        <v>15</v>
      </c>
      <c r="K165" t="str">
        <f>VLOOKUP(J165,CountryName!$B:$C,2,TRUE)</f>
        <v>Europe</v>
      </c>
      <c r="L165" t="s">
        <v>151</v>
      </c>
    </row>
    <row r="166" spans="1:12" x14ac:dyDescent="0.2">
      <c r="A166" s="1">
        <v>2021</v>
      </c>
      <c r="B166" t="str">
        <f>VLOOKUP(C166,References!$A$5:$B$8,2,TRUE)</f>
        <v>Expert Level</v>
      </c>
      <c r="C166" t="s">
        <v>53</v>
      </c>
      <c r="D166" t="s">
        <v>147</v>
      </c>
      <c r="E166" t="str">
        <f>VLOOKUP(F166,References!$D$1:$F$50,3,TRUE)</f>
        <v>Manager</v>
      </c>
      <c r="F166" t="s">
        <v>54</v>
      </c>
      <c r="G166">
        <v>130026</v>
      </c>
      <c r="H166" t="s">
        <v>15</v>
      </c>
      <c r="I166">
        <v>50</v>
      </c>
      <c r="J166" t="s">
        <v>15</v>
      </c>
      <c r="K166" t="str">
        <f>VLOOKUP(J166,CountryName!$B:$C,2,TRUE)</f>
        <v>Europe</v>
      </c>
      <c r="L166" t="s">
        <v>153</v>
      </c>
    </row>
    <row r="167" spans="1:12" x14ac:dyDescent="0.2">
      <c r="A167" s="1">
        <v>2021</v>
      </c>
      <c r="B167" t="str">
        <f>VLOOKUP(C167,References!$A$5:$B$8,2,TRUE)</f>
        <v>Senior Level</v>
      </c>
      <c r="C167" t="s">
        <v>17</v>
      </c>
      <c r="D167" t="s">
        <v>147</v>
      </c>
      <c r="E167" t="str">
        <f>VLOOKUP(F167,References!$D$1:$F$50,3,TRUE)</f>
        <v>Data Analyst</v>
      </c>
      <c r="F167" t="s">
        <v>108</v>
      </c>
      <c r="G167">
        <v>165000</v>
      </c>
      <c r="H167" t="s">
        <v>29</v>
      </c>
      <c r="I167">
        <v>100</v>
      </c>
      <c r="J167" t="s">
        <v>29</v>
      </c>
      <c r="K167" t="str">
        <f>VLOOKUP(J167,CountryName!$B:$C,2,TRUE)</f>
        <v>North America</v>
      </c>
      <c r="L167" t="s">
        <v>151</v>
      </c>
    </row>
    <row r="168" spans="1:12" x14ac:dyDescent="0.2">
      <c r="A168" s="1">
        <v>2021</v>
      </c>
      <c r="B168" t="str">
        <f>VLOOKUP(C168,References!$A$5:$B$8,2,TRUE)</f>
        <v>Entry Level</v>
      </c>
      <c r="C168" t="s">
        <v>30</v>
      </c>
      <c r="D168" t="s">
        <v>147</v>
      </c>
      <c r="E168" t="str">
        <f>VLOOKUP(F168,References!$D$1:$F$50,3,TRUE)</f>
        <v>Data Engineer</v>
      </c>
      <c r="F168" t="s">
        <v>43</v>
      </c>
      <c r="G168">
        <v>80000</v>
      </c>
      <c r="H168" t="s">
        <v>29</v>
      </c>
      <c r="I168">
        <v>100</v>
      </c>
      <c r="J168" t="s">
        <v>29</v>
      </c>
      <c r="K168" t="str">
        <f>VLOOKUP(J168,CountryName!$B:$C,2,TRUE)</f>
        <v>North America</v>
      </c>
      <c r="L168" t="s">
        <v>151</v>
      </c>
    </row>
    <row r="169" spans="1:12" x14ac:dyDescent="0.2">
      <c r="A169" s="1">
        <v>2021</v>
      </c>
      <c r="B169" t="str">
        <f>VLOOKUP(C169,References!$A$5:$B$8,2,TRUE)</f>
        <v>Expert Level</v>
      </c>
      <c r="C169" t="s">
        <v>53</v>
      </c>
      <c r="D169" t="s">
        <v>147</v>
      </c>
      <c r="E169" t="str">
        <f>VLOOKUP(F169,References!$D$1:$F$50,3,TRUE)</f>
        <v>Manager</v>
      </c>
      <c r="F169" t="s">
        <v>54</v>
      </c>
      <c r="G169">
        <v>250000</v>
      </c>
      <c r="H169" t="s">
        <v>29</v>
      </c>
      <c r="I169">
        <v>0</v>
      </c>
      <c r="J169" t="s">
        <v>29</v>
      </c>
      <c r="K169" t="str">
        <f>VLOOKUP(J169,CountryName!$B:$C,2,TRUE)</f>
        <v>North America</v>
      </c>
      <c r="L169" t="s">
        <v>151</v>
      </c>
    </row>
    <row r="170" spans="1:12" x14ac:dyDescent="0.2">
      <c r="A170" s="1">
        <v>2021</v>
      </c>
      <c r="B170" t="str">
        <f>VLOOKUP(C170,References!$A$5:$B$8,2,TRUE)</f>
        <v>Entry Level</v>
      </c>
      <c r="C170" t="s">
        <v>30</v>
      </c>
      <c r="D170" t="s">
        <v>147</v>
      </c>
      <c r="E170" t="str">
        <f>VLOOKUP(F170,References!$D$1:$F$50,3,TRUE)</f>
        <v>Data Analyst</v>
      </c>
      <c r="F170" t="s">
        <v>51</v>
      </c>
      <c r="G170">
        <v>55000</v>
      </c>
      <c r="H170" t="s">
        <v>29</v>
      </c>
      <c r="I170">
        <v>50</v>
      </c>
      <c r="J170" t="s">
        <v>29</v>
      </c>
      <c r="K170" t="str">
        <f>VLOOKUP(J170,CountryName!$B:$C,2,TRUE)</f>
        <v>North America</v>
      </c>
      <c r="L170" t="s">
        <v>152</v>
      </c>
    </row>
    <row r="171" spans="1:12" x14ac:dyDescent="0.2">
      <c r="A171" s="1">
        <v>2021</v>
      </c>
      <c r="B171" t="str">
        <f>VLOOKUP(C171,References!$A$5:$B$8,2,TRUE)</f>
        <v>Mid level</v>
      </c>
      <c r="C171" t="s">
        <v>11</v>
      </c>
      <c r="D171" t="s">
        <v>147</v>
      </c>
      <c r="E171" t="str">
        <f>VLOOKUP(F171,References!$D$1:$F$50,3,TRUE)</f>
        <v>Data Engineer</v>
      </c>
      <c r="F171" t="s">
        <v>109</v>
      </c>
      <c r="G171">
        <v>150000</v>
      </c>
      <c r="H171" t="s">
        <v>29</v>
      </c>
      <c r="I171">
        <v>100</v>
      </c>
      <c r="J171" t="s">
        <v>29</v>
      </c>
      <c r="K171" t="str">
        <f>VLOOKUP(J171,CountryName!$B:$C,2,TRUE)</f>
        <v>North America</v>
      </c>
      <c r="L171" t="s">
        <v>151</v>
      </c>
    </row>
    <row r="172" spans="1:12" x14ac:dyDescent="0.2">
      <c r="A172" s="1">
        <v>2021</v>
      </c>
      <c r="B172" t="str">
        <f>VLOOKUP(C172,References!$A$5:$B$8,2,TRUE)</f>
        <v>Mid level</v>
      </c>
      <c r="C172" t="s">
        <v>11</v>
      </c>
      <c r="D172" t="s">
        <v>147</v>
      </c>
      <c r="E172" t="str">
        <f>VLOOKUP(F172,References!$D$1:$F$50,3,TRUE)</f>
        <v>Data Engineer</v>
      </c>
      <c r="F172" t="s">
        <v>109</v>
      </c>
      <c r="G172">
        <v>170000</v>
      </c>
      <c r="H172" t="s">
        <v>29</v>
      </c>
      <c r="I172">
        <v>100</v>
      </c>
      <c r="J172" t="s">
        <v>29</v>
      </c>
      <c r="K172" t="str">
        <f>VLOOKUP(J172,CountryName!$B:$C,2,TRUE)</f>
        <v>North America</v>
      </c>
      <c r="L172" t="s">
        <v>151</v>
      </c>
    </row>
    <row r="173" spans="1:12" x14ac:dyDescent="0.2">
      <c r="A173" s="1">
        <v>2021</v>
      </c>
      <c r="B173" t="str">
        <f>VLOOKUP(C173,References!$A$5:$B$8,2,TRUE)</f>
        <v>Mid level</v>
      </c>
      <c r="C173" t="s">
        <v>11</v>
      </c>
      <c r="D173" t="s">
        <v>147</v>
      </c>
      <c r="E173" t="str">
        <f>VLOOKUP(F173,References!$D$1:$F$50,3,TRUE)</f>
        <v>Data Engineer</v>
      </c>
      <c r="F173" t="s">
        <v>43</v>
      </c>
      <c r="G173">
        <v>82528</v>
      </c>
      <c r="H173" t="s">
        <v>24</v>
      </c>
      <c r="I173">
        <v>100</v>
      </c>
      <c r="J173" t="s">
        <v>24</v>
      </c>
      <c r="K173" t="str">
        <f>VLOOKUP(J173,CountryName!$B:$C,2,TRUE)</f>
        <v>Europe</v>
      </c>
      <c r="L173" t="s">
        <v>151</v>
      </c>
    </row>
    <row r="174" spans="1:12" x14ac:dyDescent="0.2">
      <c r="A174" s="1">
        <v>2021</v>
      </c>
      <c r="B174" t="str">
        <f>VLOOKUP(C174,References!$A$5:$B$8,2,TRUE)</f>
        <v>Entry Level</v>
      </c>
      <c r="C174" t="s">
        <v>30</v>
      </c>
      <c r="D174" t="s">
        <v>147</v>
      </c>
      <c r="E174" t="str">
        <f>VLOOKUP(F174,References!$D$1:$F$50,3,TRUE)</f>
        <v>Data Analyst</v>
      </c>
      <c r="F174" t="s">
        <v>31</v>
      </c>
      <c r="G174">
        <v>60000</v>
      </c>
      <c r="H174" t="s">
        <v>29</v>
      </c>
      <c r="I174">
        <v>100</v>
      </c>
      <c r="J174" t="s">
        <v>29</v>
      </c>
      <c r="K174" t="str">
        <f>VLOOKUP(J174,CountryName!$B:$C,2,TRUE)</f>
        <v>North America</v>
      </c>
      <c r="L174" t="s">
        <v>152</v>
      </c>
    </row>
    <row r="175" spans="1:12" x14ac:dyDescent="0.2">
      <c r="A175" s="1">
        <v>2021</v>
      </c>
      <c r="B175" t="str">
        <f>VLOOKUP(C175,References!$A$5:$B$8,2,TRUE)</f>
        <v>Senior Level</v>
      </c>
      <c r="C175" t="s">
        <v>17</v>
      </c>
      <c r="D175" t="s">
        <v>147</v>
      </c>
      <c r="E175" t="str">
        <f>VLOOKUP(F175,References!$D$1:$F$50,3,TRUE)</f>
        <v>Scientist</v>
      </c>
      <c r="F175" t="s">
        <v>76</v>
      </c>
      <c r="G175">
        <v>235000</v>
      </c>
      <c r="H175" t="s">
        <v>29</v>
      </c>
      <c r="I175">
        <v>100</v>
      </c>
      <c r="J175" t="s">
        <v>29</v>
      </c>
      <c r="K175" t="str">
        <f>VLOOKUP(J175,CountryName!$B:$C,2,TRUE)</f>
        <v>North America</v>
      </c>
      <c r="L175" t="s">
        <v>151</v>
      </c>
    </row>
    <row r="176" spans="1:12" x14ac:dyDescent="0.2">
      <c r="A176" s="1">
        <v>2021</v>
      </c>
      <c r="B176" t="str">
        <f>VLOOKUP(C176,References!$A$5:$B$8,2,TRUE)</f>
        <v>Senior Level</v>
      </c>
      <c r="C176" t="s">
        <v>17</v>
      </c>
      <c r="D176" t="s">
        <v>147</v>
      </c>
      <c r="E176" t="str">
        <f>VLOOKUP(F176,References!$D$1:$F$50,3,TRUE)</f>
        <v>Scientist</v>
      </c>
      <c r="F176" t="s">
        <v>55</v>
      </c>
      <c r="G176">
        <v>60757</v>
      </c>
      <c r="H176" t="s">
        <v>47</v>
      </c>
      <c r="I176">
        <v>50</v>
      </c>
      <c r="J176" t="s">
        <v>47</v>
      </c>
      <c r="K176" t="str">
        <f>VLOOKUP(J176,CountryName!$B:$C,2,TRUE)</f>
        <v>Europe</v>
      </c>
      <c r="L176" t="s">
        <v>151</v>
      </c>
    </row>
    <row r="177" spans="1:12" x14ac:dyDescent="0.2">
      <c r="A177" s="1">
        <v>2021</v>
      </c>
      <c r="B177" t="str">
        <f>VLOOKUP(C177,References!$A$5:$B$8,2,TRUE)</f>
        <v>Senior Level</v>
      </c>
      <c r="C177" t="s">
        <v>17</v>
      </c>
      <c r="D177" t="s">
        <v>147</v>
      </c>
      <c r="E177" t="str">
        <f>VLOOKUP(F177,References!$D$1:$F$50,3,TRUE)</f>
        <v>Manager</v>
      </c>
      <c r="F177" t="s">
        <v>63</v>
      </c>
      <c r="G177">
        <v>174000</v>
      </c>
      <c r="H177" t="s">
        <v>29</v>
      </c>
      <c r="I177">
        <v>100</v>
      </c>
      <c r="J177" t="s">
        <v>29</v>
      </c>
      <c r="K177" t="str">
        <f>VLOOKUP(J177,CountryName!$B:$C,2,TRUE)</f>
        <v>North America</v>
      </c>
      <c r="L177" t="s">
        <v>151</v>
      </c>
    </row>
    <row r="178" spans="1:12" x14ac:dyDescent="0.2">
      <c r="A178" s="1">
        <v>2021</v>
      </c>
      <c r="B178" t="str">
        <f>VLOOKUP(C178,References!$A$5:$B$8,2,TRUE)</f>
        <v>Mid level</v>
      </c>
      <c r="C178" t="s">
        <v>11</v>
      </c>
      <c r="D178" t="s">
        <v>147</v>
      </c>
      <c r="E178" t="str">
        <f>VLOOKUP(F178,References!$D$1:$F$50,3,TRUE)</f>
        <v>Data Scientist</v>
      </c>
      <c r="F178" t="s">
        <v>13</v>
      </c>
      <c r="G178">
        <v>2859</v>
      </c>
      <c r="H178" t="s">
        <v>58</v>
      </c>
      <c r="I178">
        <v>0</v>
      </c>
      <c r="J178" t="s">
        <v>58</v>
      </c>
      <c r="K178" t="str">
        <f>VLOOKUP(J178,CountryName!$B:$C,2,TRUE)</f>
        <v>North America</v>
      </c>
      <c r="L178" t="s">
        <v>152</v>
      </c>
    </row>
    <row r="179" spans="1:12" x14ac:dyDescent="0.2">
      <c r="A179" s="1">
        <v>2021</v>
      </c>
      <c r="B179" t="str">
        <f>VLOOKUP(C179,References!$A$5:$B$8,2,TRUE)</f>
        <v>Mid level</v>
      </c>
      <c r="C179" t="s">
        <v>11</v>
      </c>
      <c r="D179" t="s">
        <v>147</v>
      </c>
      <c r="E179" t="str">
        <f>VLOOKUP(F179,References!$D$1:$F$50,3,TRUE)</f>
        <v>Data Scientist</v>
      </c>
      <c r="F179" t="s">
        <v>13</v>
      </c>
      <c r="G179">
        <v>40038</v>
      </c>
      <c r="H179" t="s">
        <v>111</v>
      </c>
      <c r="I179">
        <v>100</v>
      </c>
      <c r="J179" t="s">
        <v>111</v>
      </c>
      <c r="K179" t="str">
        <f>VLOOKUP(J179,CountryName!$B:$C,2,TRUE)</f>
        <v>South America</v>
      </c>
      <c r="L179" t="s">
        <v>151</v>
      </c>
    </row>
    <row r="180" spans="1:12" x14ac:dyDescent="0.2">
      <c r="A180" s="1">
        <v>2021</v>
      </c>
      <c r="B180" t="str">
        <f>VLOOKUP(C180,References!$A$5:$B$8,2,TRUE)</f>
        <v>Entry Level</v>
      </c>
      <c r="C180" t="s">
        <v>30</v>
      </c>
      <c r="D180" t="s">
        <v>147</v>
      </c>
      <c r="E180" t="str">
        <f>VLOOKUP(F180,References!$D$1:$F$50,3,TRUE)</f>
        <v>Machine Learning</v>
      </c>
      <c r="F180" t="s">
        <v>28</v>
      </c>
      <c r="G180">
        <v>81000</v>
      </c>
      <c r="H180" t="s">
        <v>29</v>
      </c>
      <c r="I180">
        <v>50</v>
      </c>
      <c r="J180" t="s">
        <v>29</v>
      </c>
      <c r="K180" t="str">
        <f>VLOOKUP(J180,CountryName!$B:$C,2,TRUE)</f>
        <v>North America</v>
      </c>
      <c r="L180" t="s">
        <v>152</v>
      </c>
    </row>
    <row r="181" spans="1:12" x14ac:dyDescent="0.2">
      <c r="A181" s="1">
        <v>2021</v>
      </c>
      <c r="B181" t="str">
        <f>VLOOKUP(C181,References!$A$5:$B$8,2,TRUE)</f>
        <v>Mid level</v>
      </c>
      <c r="C181" t="s">
        <v>11</v>
      </c>
      <c r="D181" t="s">
        <v>147</v>
      </c>
      <c r="E181" t="str">
        <f>VLOOKUP(F181,References!$D$1:$F$50,3,TRUE)</f>
        <v>Data Scientist</v>
      </c>
      <c r="F181" t="s">
        <v>13</v>
      </c>
      <c r="G181">
        <v>5679</v>
      </c>
      <c r="H181" t="s">
        <v>40</v>
      </c>
      <c r="I181">
        <v>100</v>
      </c>
      <c r="J181" t="s">
        <v>29</v>
      </c>
      <c r="K181" t="str">
        <f>VLOOKUP(J181,CountryName!$B:$C,2,TRUE)</f>
        <v>North America</v>
      </c>
      <c r="L181" t="s">
        <v>152</v>
      </c>
    </row>
    <row r="182" spans="1:12" x14ac:dyDescent="0.2">
      <c r="A182" s="1">
        <v>2021</v>
      </c>
      <c r="B182" t="str">
        <f>VLOOKUP(C182,References!$A$5:$B$8,2,TRUE)</f>
        <v>Mid level</v>
      </c>
      <c r="C182" t="s">
        <v>11</v>
      </c>
      <c r="D182" t="s">
        <v>147</v>
      </c>
      <c r="E182" t="str">
        <f>VLOOKUP(F182,References!$D$1:$F$50,3,TRUE)</f>
        <v>Data Engineer</v>
      </c>
      <c r="F182" t="s">
        <v>22</v>
      </c>
      <c r="G182">
        <v>22611</v>
      </c>
      <c r="H182" t="s">
        <v>40</v>
      </c>
      <c r="I182">
        <v>0</v>
      </c>
      <c r="J182" t="s">
        <v>40</v>
      </c>
      <c r="K182" t="str">
        <f>VLOOKUP(J182,CountryName!$B:$C,2,TRUE)</f>
        <v>Asia</v>
      </c>
      <c r="L182" t="s">
        <v>151</v>
      </c>
    </row>
    <row r="183" spans="1:12" x14ac:dyDescent="0.2">
      <c r="A183" s="1">
        <v>2021</v>
      </c>
      <c r="B183" t="str">
        <f>VLOOKUP(C183,References!$A$5:$B$8,2,TRUE)</f>
        <v>Mid level</v>
      </c>
      <c r="C183" t="s">
        <v>11</v>
      </c>
      <c r="D183" t="s">
        <v>147</v>
      </c>
      <c r="E183" t="str">
        <f>VLOOKUP(F183,References!$D$1:$F$50,3,TRUE)</f>
        <v>Data Scientist</v>
      </c>
      <c r="F183" t="s">
        <v>13</v>
      </c>
      <c r="G183">
        <v>90734</v>
      </c>
      <c r="H183" t="s">
        <v>15</v>
      </c>
      <c r="I183">
        <v>50</v>
      </c>
      <c r="J183" t="s">
        <v>15</v>
      </c>
      <c r="K183" t="str">
        <f>VLOOKUP(J183,CountryName!$B:$C,2,TRUE)</f>
        <v>Europe</v>
      </c>
      <c r="L183" t="s">
        <v>151</v>
      </c>
    </row>
    <row r="184" spans="1:12" x14ac:dyDescent="0.2">
      <c r="A184" s="1">
        <v>2021</v>
      </c>
      <c r="B184" t="str">
        <f>VLOOKUP(C184,References!$A$5:$B$8,2,TRUE)</f>
        <v>Mid level</v>
      </c>
      <c r="C184" t="s">
        <v>11</v>
      </c>
      <c r="D184" t="s">
        <v>147</v>
      </c>
      <c r="E184" t="str">
        <f>VLOOKUP(F184,References!$D$1:$F$50,3,TRUE)</f>
        <v>Data Engineer</v>
      </c>
      <c r="F184" t="s">
        <v>43</v>
      </c>
      <c r="G184">
        <v>26005</v>
      </c>
      <c r="H184" t="s">
        <v>96</v>
      </c>
      <c r="I184">
        <v>0</v>
      </c>
      <c r="J184" t="s">
        <v>29</v>
      </c>
      <c r="K184" t="str">
        <f>VLOOKUP(J184,CountryName!$B:$C,2,TRUE)</f>
        <v>North America</v>
      </c>
      <c r="L184" t="s">
        <v>151</v>
      </c>
    </row>
    <row r="185" spans="1:12" x14ac:dyDescent="0.2">
      <c r="A185" s="1">
        <v>2021</v>
      </c>
      <c r="B185" t="str">
        <f>VLOOKUP(C185,References!$A$5:$B$8,2,TRUE)</f>
        <v>Senior Level</v>
      </c>
      <c r="C185" t="s">
        <v>17</v>
      </c>
      <c r="D185" t="s">
        <v>147</v>
      </c>
      <c r="E185" t="str">
        <f>VLOOKUP(F185,References!$D$1:$F$50,3,TRUE)</f>
        <v>Data Analyst</v>
      </c>
      <c r="F185" t="s">
        <v>112</v>
      </c>
      <c r="G185">
        <v>61896</v>
      </c>
      <c r="H185" t="s">
        <v>24</v>
      </c>
      <c r="I185">
        <v>50</v>
      </c>
      <c r="J185" t="s">
        <v>24</v>
      </c>
      <c r="K185" t="str">
        <f>VLOOKUP(J185,CountryName!$B:$C,2,TRUE)</f>
        <v>Europe</v>
      </c>
      <c r="L185" t="s">
        <v>151</v>
      </c>
    </row>
    <row r="186" spans="1:12" x14ac:dyDescent="0.2">
      <c r="A186" s="1">
        <v>2021</v>
      </c>
      <c r="B186" t="str">
        <f>VLOOKUP(C186,References!$A$5:$B$8,2,TRUE)</f>
        <v>Mid level</v>
      </c>
      <c r="C186" t="s">
        <v>11</v>
      </c>
      <c r="D186" t="s">
        <v>149</v>
      </c>
      <c r="E186" t="str">
        <f>VLOOKUP(F186,References!$D$1:$F$50,3,TRUE)</f>
        <v>Scientist</v>
      </c>
      <c r="F186" t="s">
        <v>18</v>
      </c>
      <c r="G186">
        <v>12000</v>
      </c>
      <c r="H186" t="s">
        <v>42</v>
      </c>
      <c r="I186">
        <v>50</v>
      </c>
      <c r="J186" t="s">
        <v>42</v>
      </c>
      <c r="K186" t="str">
        <f>VLOOKUP(J186,CountryName!$B:$C,2,TRUE)</f>
        <v>Asia</v>
      </c>
      <c r="L186" t="s">
        <v>153</v>
      </c>
    </row>
    <row r="187" spans="1:12" x14ac:dyDescent="0.2">
      <c r="A187" s="1">
        <v>2021</v>
      </c>
      <c r="B187" t="str">
        <f>VLOOKUP(C187,References!$A$5:$B$8,2,TRUE)</f>
        <v>Mid level</v>
      </c>
      <c r="C187" t="s">
        <v>11</v>
      </c>
      <c r="D187" t="s">
        <v>147</v>
      </c>
      <c r="E187" t="str">
        <f>VLOOKUP(F187,References!$D$1:$F$50,3,TRUE)</f>
        <v>Data Engineer</v>
      </c>
      <c r="F187" t="s">
        <v>43</v>
      </c>
      <c r="G187">
        <v>4000</v>
      </c>
      <c r="H187" t="s">
        <v>113</v>
      </c>
      <c r="I187">
        <v>100</v>
      </c>
      <c r="J187" t="s">
        <v>113</v>
      </c>
      <c r="K187" t="str">
        <f>VLOOKUP(J187,CountryName!$B:$C,2,TRUE)</f>
        <v>Asia</v>
      </c>
      <c r="L187" t="s">
        <v>153</v>
      </c>
    </row>
    <row r="188" spans="1:12" x14ac:dyDescent="0.2">
      <c r="A188" s="1">
        <v>2021</v>
      </c>
      <c r="B188" t="str">
        <f>VLOOKUP(C188,References!$A$5:$B$8,2,TRUE)</f>
        <v>Senior Level</v>
      </c>
      <c r="C188" t="s">
        <v>17</v>
      </c>
      <c r="D188" t="s">
        <v>147</v>
      </c>
      <c r="E188" t="str">
        <f>VLOOKUP(F188,References!$D$1:$F$50,3,TRUE)</f>
        <v>Data Analyst</v>
      </c>
      <c r="F188" t="s">
        <v>83</v>
      </c>
      <c r="G188">
        <v>50000</v>
      </c>
      <c r="H188" t="s">
        <v>101</v>
      </c>
      <c r="I188">
        <v>100</v>
      </c>
      <c r="J188" t="s">
        <v>24</v>
      </c>
      <c r="K188" t="str">
        <f>VLOOKUP(J188,CountryName!$B:$C,2,TRUE)</f>
        <v>Europe</v>
      </c>
      <c r="L188" t="s">
        <v>153</v>
      </c>
    </row>
    <row r="189" spans="1:12" x14ac:dyDescent="0.2">
      <c r="A189" s="1">
        <v>2021</v>
      </c>
      <c r="B189" t="str">
        <f>VLOOKUP(C189,References!$A$5:$B$8,2,TRUE)</f>
        <v>Expert Level</v>
      </c>
      <c r="C189" t="s">
        <v>53</v>
      </c>
      <c r="D189" t="s">
        <v>147</v>
      </c>
      <c r="E189" t="str">
        <f>VLOOKUP(F189,References!$D$1:$F$50,3,TRUE)</f>
        <v>Data Analyst</v>
      </c>
      <c r="F189" t="s">
        <v>46</v>
      </c>
      <c r="G189">
        <v>69741</v>
      </c>
      <c r="H189" t="s">
        <v>38</v>
      </c>
      <c r="I189">
        <v>100</v>
      </c>
      <c r="J189" t="s">
        <v>67</v>
      </c>
      <c r="K189" t="str">
        <f>VLOOKUP(J189,CountryName!$B:$C,2,TRUE)</f>
        <v>Europe</v>
      </c>
      <c r="L189" t="s">
        <v>152</v>
      </c>
    </row>
    <row r="190" spans="1:12" x14ac:dyDescent="0.2">
      <c r="A190" s="1">
        <v>2021</v>
      </c>
      <c r="B190" t="str">
        <f>VLOOKUP(C190,References!$A$5:$B$8,2,TRUE)</f>
        <v>Senior Level</v>
      </c>
      <c r="C190" t="s">
        <v>17</v>
      </c>
      <c r="D190" t="s">
        <v>147</v>
      </c>
      <c r="E190" t="str">
        <f>VLOOKUP(F190,References!$D$1:$F$50,3,TRUE)</f>
        <v>Data Engineer</v>
      </c>
      <c r="F190" t="s">
        <v>43</v>
      </c>
      <c r="G190">
        <v>76833</v>
      </c>
      <c r="H190" t="s">
        <v>96</v>
      </c>
      <c r="I190">
        <v>50</v>
      </c>
      <c r="J190" t="s">
        <v>24</v>
      </c>
      <c r="K190" t="str">
        <f>VLOOKUP(J190,CountryName!$B:$C,2,TRUE)</f>
        <v>Europe</v>
      </c>
      <c r="L190" t="s">
        <v>152</v>
      </c>
    </row>
    <row r="191" spans="1:12" x14ac:dyDescent="0.2">
      <c r="A191" s="1">
        <v>2021</v>
      </c>
      <c r="B191" t="str">
        <f>VLOOKUP(C191,References!$A$5:$B$8,2,TRUE)</f>
        <v>Mid level</v>
      </c>
      <c r="C191" t="s">
        <v>11</v>
      </c>
      <c r="D191" t="s">
        <v>147</v>
      </c>
      <c r="E191" t="str">
        <f>VLOOKUP(F191,References!$D$1:$F$50,3,TRUE)</f>
        <v>Machine Learning</v>
      </c>
      <c r="F191" t="s">
        <v>28</v>
      </c>
      <c r="G191">
        <v>74000</v>
      </c>
      <c r="H191" t="s">
        <v>20</v>
      </c>
      <c r="I191">
        <v>50</v>
      </c>
      <c r="J191" t="s">
        <v>20</v>
      </c>
      <c r="K191" t="str">
        <f>VLOOKUP(J191,CountryName!$B:$C,2,TRUE)</f>
        <v>Asia</v>
      </c>
      <c r="L191" t="s">
        <v>152</v>
      </c>
    </row>
    <row r="192" spans="1:12" x14ac:dyDescent="0.2">
      <c r="A192" s="1">
        <v>2021</v>
      </c>
      <c r="B192" t="str">
        <f>VLOOKUP(C192,References!$A$5:$B$8,2,TRUE)</f>
        <v>Senior Level</v>
      </c>
      <c r="C192" t="s">
        <v>17</v>
      </c>
      <c r="D192" t="s">
        <v>147</v>
      </c>
      <c r="E192" t="str">
        <f>VLOOKUP(F192,References!$D$1:$F$50,3,TRUE)</f>
        <v>Manager</v>
      </c>
      <c r="F192" t="s">
        <v>79</v>
      </c>
      <c r="G192">
        <v>152000</v>
      </c>
      <c r="H192" t="s">
        <v>29</v>
      </c>
      <c r="I192">
        <v>100</v>
      </c>
      <c r="J192" t="s">
        <v>38</v>
      </c>
      <c r="K192" t="str">
        <f>VLOOKUP(J192,CountryName!$B:$C,2,TRUE)</f>
        <v>Europe</v>
      </c>
      <c r="L192" t="s">
        <v>151</v>
      </c>
    </row>
    <row r="193" spans="1:12" x14ac:dyDescent="0.2">
      <c r="A193" s="1">
        <v>2021</v>
      </c>
      <c r="B193" t="str">
        <f>VLOOKUP(C193,References!$A$5:$B$8,2,TRUE)</f>
        <v>Entry Level</v>
      </c>
      <c r="C193" t="s">
        <v>30</v>
      </c>
      <c r="D193" t="s">
        <v>147</v>
      </c>
      <c r="E193" t="str">
        <f>VLOOKUP(F193,References!$D$1:$F$50,3,TRUE)</f>
        <v>Machine Learning</v>
      </c>
      <c r="F193" t="s">
        <v>28</v>
      </c>
      <c r="G193">
        <v>21844</v>
      </c>
      <c r="H193" t="s">
        <v>114</v>
      </c>
      <c r="I193">
        <v>50</v>
      </c>
      <c r="J193" t="s">
        <v>114</v>
      </c>
      <c r="K193" t="str">
        <f>VLOOKUP(J193,CountryName!$B:$C,2,TRUE)</f>
        <v>South America</v>
      </c>
      <c r="L193" t="s">
        <v>153</v>
      </c>
    </row>
    <row r="194" spans="1:12" x14ac:dyDescent="0.2">
      <c r="A194" s="1">
        <v>2021</v>
      </c>
      <c r="B194" t="str">
        <f>VLOOKUP(C194,References!$A$5:$B$8,2,TRUE)</f>
        <v>Mid level</v>
      </c>
      <c r="C194" t="s">
        <v>11</v>
      </c>
      <c r="D194" t="s">
        <v>147</v>
      </c>
      <c r="E194" t="str">
        <f>VLOOKUP(F194,References!$D$1:$F$50,3,TRUE)</f>
        <v>Data Engineer</v>
      </c>
      <c r="F194" t="s">
        <v>22</v>
      </c>
      <c r="G194">
        <v>18000</v>
      </c>
      <c r="H194" t="s">
        <v>115</v>
      </c>
      <c r="I194">
        <v>0</v>
      </c>
      <c r="J194" t="s">
        <v>115</v>
      </c>
      <c r="K194" t="str">
        <f>VLOOKUP(J194,CountryName!$B:$C,2,TRUE)</f>
        <v>Europe</v>
      </c>
      <c r="L194" t="s">
        <v>152</v>
      </c>
    </row>
    <row r="195" spans="1:12" x14ac:dyDescent="0.2">
      <c r="A195" s="1">
        <v>2021</v>
      </c>
      <c r="B195" t="str">
        <f>VLOOKUP(C195,References!$A$5:$B$8,2,TRUE)</f>
        <v>Senior Level</v>
      </c>
      <c r="C195" t="s">
        <v>17</v>
      </c>
      <c r="D195" t="s">
        <v>147</v>
      </c>
      <c r="E195" t="str">
        <f>VLOOKUP(F195,References!$D$1:$F$50,3,TRUE)</f>
        <v>Manager</v>
      </c>
      <c r="F195" t="s">
        <v>79</v>
      </c>
      <c r="G195">
        <v>174000</v>
      </c>
      <c r="H195" t="s">
        <v>29</v>
      </c>
      <c r="I195">
        <v>100</v>
      </c>
      <c r="J195" t="s">
        <v>29</v>
      </c>
      <c r="K195" t="str">
        <f>VLOOKUP(J195,CountryName!$B:$C,2,TRUE)</f>
        <v>North America</v>
      </c>
      <c r="L195" t="s">
        <v>151</v>
      </c>
    </row>
    <row r="196" spans="1:12" x14ac:dyDescent="0.2">
      <c r="A196" s="1">
        <v>2021</v>
      </c>
      <c r="B196" t="str">
        <f>VLOOKUP(C196,References!$A$5:$B$8,2,TRUE)</f>
        <v>Senior Level</v>
      </c>
      <c r="C196" t="s">
        <v>17</v>
      </c>
      <c r="D196" t="s">
        <v>147</v>
      </c>
      <c r="E196" t="str">
        <f>VLOOKUP(F196,References!$D$1:$F$50,3,TRUE)</f>
        <v>Scientist</v>
      </c>
      <c r="F196" t="s">
        <v>55</v>
      </c>
      <c r="G196">
        <v>96113</v>
      </c>
      <c r="H196" t="s">
        <v>62</v>
      </c>
      <c r="I196">
        <v>50</v>
      </c>
      <c r="J196" t="s">
        <v>62</v>
      </c>
      <c r="K196" t="str">
        <f>VLOOKUP(J196,CountryName!$B:$C,2,TRUE)</f>
        <v>North America</v>
      </c>
      <c r="L196" t="s">
        <v>151</v>
      </c>
    </row>
    <row r="197" spans="1:12" x14ac:dyDescent="0.2">
      <c r="A197" s="1">
        <v>2021</v>
      </c>
      <c r="B197" t="str">
        <f>VLOOKUP(C197,References!$A$5:$B$8,2,TRUE)</f>
        <v>Mid level</v>
      </c>
      <c r="C197" t="s">
        <v>11</v>
      </c>
      <c r="D197" t="s">
        <v>147</v>
      </c>
      <c r="E197" t="str">
        <f>VLOOKUP(F197,References!$D$1:$F$50,3,TRUE)</f>
        <v>Data Scientist</v>
      </c>
      <c r="F197" t="s">
        <v>13</v>
      </c>
      <c r="G197">
        <v>147000</v>
      </c>
      <c r="H197" t="s">
        <v>29</v>
      </c>
      <c r="I197">
        <v>50</v>
      </c>
      <c r="J197" t="s">
        <v>29</v>
      </c>
      <c r="K197" t="str">
        <f>VLOOKUP(J197,CountryName!$B:$C,2,TRUE)</f>
        <v>North America</v>
      </c>
      <c r="L197" t="s">
        <v>151</v>
      </c>
    </row>
    <row r="198" spans="1:12" x14ac:dyDescent="0.2">
      <c r="A198" s="1">
        <v>2021</v>
      </c>
      <c r="B198" t="str">
        <f>VLOOKUP(C198,References!$A$5:$B$8,2,TRUE)</f>
        <v>Entry Level</v>
      </c>
      <c r="C198" t="s">
        <v>30</v>
      </c>
      <c r="D198" t="s">
        <v>147</v>
      </c>
      <c r="E198" t="str">
        <f>VLOOKUP(F198,References!$D$1:$F$50,3,TRUE)</f>
        <v>Data Analyst</v>
      </c>
      <c r="F198" t="s">
        <v>51</v>
      </c>
      <c r="G198">
        <v>9272</v>
      </c>
      <c r="H198" t="s">
        <v>116</v>
      </c>
      <c r="I198">
        <v>100</v>
      </c>
      <c r="J198" t="s">
        <v>116</v>
      </c>
      <c r="K198" t="str">
        <f>VLOOKUP(J198,CountryName!$B:$C,2,TRUE)</f>
        <v>Africa</v>
      </c>
      <c r="L198" t="s">
        <v>152</v>
      </c>
    </row>
    <row r="199" spans="1:12" x14ac:dyDescent="0.2">
      <c r="A199" s="1">
        <v>2021</v>
      </c>
      <c r="B199" t="str">
        <f>VLOOKUP(C199,References!$A$5:$B$8,2,TRUE)</f>
        <v>Senior Level</v>
      </c>
      <c r="C199" t="s">
        <v>17</v>
      </c>
      <c r="D199" t="s">
        <v>147</v>
      </c>
      <c r="E199" t="str">
        <f>VLOOKUP(F199,References!$D$1:$F$50,3,TRUE)</f>
        <v>Machine Learning</v>
      </c>
      <c r="F199" t="s">
        <v>28</v>
      </c>
      <c r="G199">
        <v>24342</v>
      </c>
      <c r="H199" t="s">
        <v>40</v>
      </c>
      <c r="I199">
        <v>100</v>
      </c>
      <c r="J199" t="s">
        <v>40</v>
      </c>
      <c r="K199" t="str">
        <f>VLOOKUP(J199,CountryName!$B:$C,2,TRUE)</f>
        <v>Asia</v>
      </c>
      <c r="L199" t="s">
        <v>151</v>
      </c>
    </row>
    <row r="200" spans="1:12" x14ac:dyDescent="0.2">
      <c r="A200" s="1">
        <v>2021</v>
      </c>
      <c r="B200" t="str">
        <f>VLOOKUP(C200,References!$A$5:$B$8,2,TRUE)</f>
        <v>Senior Level</v>
      </c>
      <c r="C200" t="s">
        <v>17</v>
      </c>
      <c r="D200" t="s">
        <v>147</v>
      </c>
      <c r="E200" t="str">
        <f>VLOOKUP(F200,References!$D$1:$F$50,3,TRUE)</f>
        <v>Manager</v>
      </c>
      <c r="F200" t="s">
        <v>79</v>
      </c>
      <c r="G200">
        <v>54094</v>
      </c>
      <c r="H200" t="s">
        <v>40</v>
      </c>
      <c r="I200">
        <v>50</v>
      </c>
      <c r="J200" t="s">
        <v>29</v>
      </c>
      <c r="K200" t="str">
        <f>VLOOKUP(J200,CountryName!$B:$C,2,TRUE)</f>
        <v>North America</v>
      </c>
      <c r="L200" t="s">
        <v>151</v>
      </c>
    </row>
    <row r="201" spans="1:12" x14ac:dyDescent="0.2">
      <c r="A201" s="1">
        <v>2021</v>
      </c>
      <c r="B201" t="str">
        <f>VLOOKUP(C201,References!$A$5:$B$8,2,TRUE)</f>
        <v>Entry Level</v>
      </c>
      <c r="C201" t="s">
        <v>30</v>
      </c>
      <c r="D201" t="s">
        <v>147</v>
      </c>
      <c r="E201" t="str">
        <f>VLOOKUP(F201,References!$D$1:$F$50,3,TRUE)</f>
        <v>Data Analyst</v>
      </c>
      <c r="F201" t="s">
        <v>46</v>
      </c>
      <c r="G201">
        <v>90000</v>
      </c>
      <c r="H201" t="s">
        <v>29</v>
      </c>
      <c r="I201">
        <v>100</v>
      </c>
      <c r="J201" t="s">
        <v>29</v>
      </c>
      <c r="K201" t="str">
        <f>VLOOKUP(J201,CountryName!$B:$C,2,TRUE)</f>
        <v>North America</v>
      </c>
      <c r="L201" t="s">
        <v>152</v>
      </c>
    </row>
    <row r="202" spans="1:12" x14ac:dyDescent="0.2">
      <c r="A202" s="1">
        <v>2021</v>
      </c>
      <c r="B202" t="str">
        <f>VLOOKUP(C202,References!$A$5:$B$8,2,TRUE)</f>
        <v>Mid level</v>
      </c>
      <c r="C202" t="s">
        <v>11</v>
      </c>
      <c r="D202" t="s">
        <v>147</v>
      </c>
      <c r="E202" t="str">
        <f>VLOOKUP(F202,References!$D$1:$F$50,3,TRUE)</f>
        <v>Data Scientist</v>
      </c>
      <c r="F202" t="s">
        <v>13</v>
      </c>
      <c r="G202">
        <v>61467</v>
      </c>
      <c r="H202" t="s">
        <v>15</v>
      </c>
      <c r="I202">
        <v>50</v>
      </c>
      <c r="J202" t="s">
        <v>64</v>
      </c>
      <c r="K202" t="str">
        <f>VLOOKUP(J202,CountryName!$B:$C,2,TRUE)</f>
        <v>Europe</v>
      </c>
      <c r="L202" t="s">
        <v>153</v>
      </c>
    </row>
    <row r="203" spans="1:12" x14ac:dyDescent="0.2">
      <c r="A203" s="1">
        <v>2021</v>
      </c>
      <c r="B203" t="str">
        <f>VLOOKUP(C203,References!$A$5:$B$8,2,TRUE)</f>
        <v>Senior Level</v>
      </c>
      <c r="C203" t="s">
        <v>17</v>
      </c>
      <c r="D203" t="s">
        <v>147</v>
      </c>
      <c r="E203" t="str">
        <f>VLOOKUP(F203,References!$D$1:$F$50,3,TRUE)</f>
        <v>Machine Learning</v>
      </c>
      <c r="F203" t="s">
        <v>68</v>
      </c>
      <c r="G203">
        <v>195000</v>
      </c>
      <c r="H203" t="s">
        <v>29</v>
      </c>
      <c r="I203">
        <v>100</v>
      </c>
      <c r="J203" t="s">
        <v>29</v>
      </c>
      <c r="K203" t="str">
        <f>VLOOKUP(J203,CountryName!$B:$C,2,TRUE)</f>
        <v>North America</v>
      </c>
      <c r="L203" t="s">
        <v>153</v>
      </c>
    </row>
    <row r="204" spans="1:12" x14ac:dyDescent="0.2">
      <c r="A204" s="1">
        <v>2021</v>
      </c>
      <c r="B204" t="str">
        <f>VLOOKUP(C204,References!$A$5:$B$8,2,TRUE)</f>
        <v>Mid level</v>
      </c>
      <c r="C204" t="s">
        <v>11</v>
      </c>
      <c r="D204" t="s">
        <v>147</v>
      </c>
      <c r="E204" t="str">
        <f>VLOOKUP(F204,References!$D$1:$F$50,3,TRUE)</f>
        <v>Data Scientist</v>
      </c>
      <c r="F204" t="s">
        <v>13</v>
      </c>
      <c r="G204">
        <v>37825</v>
      </c>
      <c r="H204" t="s">
        <v>67</v>
      </c>
      <c r="I204">
        <v>100</v>
      </c>
      <c r="J204" t="s">
        <v>67</v>
      </c>
      <c r="K204" t="str">
        <f>VLOOKUP(J204,CountryName!$B:$C,2,TRUE)</f>
        <v>Europe</v>
      </c>
      <c r="L204" t="s">
        <v>151</v>
      </c>
    </row>
    <row r="205" spans="1:12" x14ac:dyDescent="0.2">
      <c r="A205" s="1">
        <v>2021</v>
      </c>
      <c r="B205" t="str">
        <f>VLOOKUP(C205,References!$A$5:$B$8,2,TRUE)</f>
        <v>Senior Level</v>
      </c>
      <c r="C205" t="s">
        <v>17</v>
      </c>
      <c r="D205" t="s">
        <v>147</v>
      </c>
      <c r="E205" t="str">
        <f>VLOOKUP(F205,References!$D$1:$F$50,3,TRUE)</f>
        <v>Scientist</v>
      </c>
      <c r="F205" t="s">
        <v>55</v>
      </c>
      <c r="G205">
        <v>50000</v>
      </c>
      <c r="H205" t="s">
        <v>38</v>
      </c>
      <c r="I205">
        <v>100</v>
      </c>
      <c r="J205" t="s">
        <v>29</v>
      </c>
      <c r="K205" t="str">
        <f>VLOOKUP(J205,CountryName!$B:$C,2,TRUE)</f>
        <v>North America</v>
      </c>
      <c r="L205" t="s">
        <v>152</v>
      </c>
    </row>
    <row r="206" spans="1:12" x14ac:dyDescent="0.2">
      <c r="A206" s="1">
        <v>2021</v>
      </c>
      <c r="B206" t="str">
        <f>VLOOKUP(C206,References!$A$5:$B$8,2,TRUE)</f>
        <v>Mid level</v>
      </c>
      <c r="C206" t="s">
        <v>11</v>
      </c>
      <c r="D206" t="s">
        <v>147</v>
      </c>
      <c r="E206" t="str">
        <f>VLOOKUP(F206,References!$D$1:$F$50,3,TRUE)</f>
        <v>Data Scientist</v>
      </c>
      <c r="F206" t="s">
        <v>13</v>
      </c>
      <c r="G206">
        <v>160000</v>
      </c>
      <c r="H206" t="s">
        <v>29</v>
      </c>
      <c r="I206">
        <v>100</v>
      </c>
      <c r="J206" t="s">
        <v>29</v>
      </c>
      <c r="K206" t="str">
        <f>VLOOKUP(J206,CountryName!$B:$C,2,TRUE)</f>
        <v>North America</v>
      </c>
      <c r="L206" t="s">
        <v>151</v>
      </c>
    </row>
    <row r="207" spans="1:12" x14ac:dyDescent="0.2">
      <c r="A207" s="1">
        <v>2021</v>
      </c>
      <c r="B207" t="str">
        <f>VLOOKUP(C207,References!$A$5:$B$8,2,TRUE)</f>
        <v>Mid level</v>
      </c>
      <c r="C207" t="s">
        <v>11</v>
      </c>
      <c r="D207" t="s">
        <v>147</v>
      </c>
      <c r="E207" t="str">
        <f>VLOOKUP(F207,References!$D$1:$F$50,3,TRUE)</f>
        <v>Data Scientist</v>
      </c>
      <c r="F207" t="s">
        <v>13</v>
      </c>
      <c r="G207">
        <v>12901</v>
      </c>
      <c r="H207" t="s">
        <v>91</v>
      </c>
      <c r="I207">
        <v>0</v>
      </c>
      <c r="J207" t="s">
        <v>91</v>
      </c>
      <c r="K207" t="str">
        <f>VLOOKUP(J207,CountryName!$B:$C,2,TRUE)</f>
        <v>South America</v>
      </c>
      <c r="L207" t="s">
        <v>152</v>
      </c>
    </row>
    <row r="208" spans="1:12" x14ac:dyDescent="0.2">
      <c r="A208" s="1">
        <v>2021</v>
      </c>
      <c r="B208" t="str">
        <f>VLOOKUP(C208,References!$A$5:$B$8,2,TRUE)</f>
        <v>Senior Level</v>
      </c>
      <c r="C208" t="s">
        <v>17</v>
      </c>
      <c r="D208" t="s">
        <v>147</v>
      </c>
      <c r="E208" t="str">
        <f>VLOOKUP(F208,References!$D$1:$F$50,3,TRUE)</f>
        <v>Machine Learning</v>
      </c>
      <c r="F208" t="s">
        <v>28</v>
      </c>
      <c r="G208">
        <v>200000</v>
      </c>
      <c r="H208" t="s">
        <v>29</v>
      </c>
      <c r="I208">
        <v>100</v>
      </c>
      <c r="J208" t="s">
        <v>29</v>
      </c>
      <c r="K208" t="str">
        <f>VLOOKUP(J208,CountryName!$B:$C,2,TRUE)</f>
        <v>North America</v>
      </c>
      <c r="L208" t="s">
        <v>151</v>
      </c>
    </row>
    <row r="209" spans="1:12" x14ac:dyDescent="0.2">
      <c r="A209" s="1">
        <v>2021</v>
      </c>
      <c r="B209" t="str">
        <f>VLOOKUP(C209,References!$A$5:$B$8,2,TRUE)</f>
        <v>Senior Level</v>
      </c>
      <c r="C209" t="s">
        <v>17</v>
      </c>
      <c r="D209" t="s">
        <v>147</v>
      </c>
      <c r="E209" t="str">
        <f>VLOOKUP(F209,References!$D$1:$F$50,3,TRUE)</f>
        <v>Data Engineer</v>
      </c>
      <c r="F209" t="s">
        <v>43</v>
      </c>
      <c r="G209">
        <v>165000</v>
      </c>
      <c r="H209" t="s">
        <v>29</v>
      </c>
      <c r="I209">
        <v>0</v>
      </c>
      <c r="J209" t="s">
        <v>29</v>
      </c>
      <c r="K209" t="str">
        <f>VLOOKUP(J209,CountryName!$B:$C,2,TRUE)</f>
        <v>North America</v>
      </c>
      <c r="L209" t="s">
        <v>153</v>
      </c>
    </row>
    <row r="210" spans="1:12" x14ac:dyDescent="0.2">
      <c r="A210" s="1">
        <v>2021</v>
      </c>
      <c r="B210" t="str">
        <f>VLOOKUP(C210,References!$A$5:$B$8,2,TRUE)</f>
        <v>Mid level</v>
      </c>
      <c r="C210" t="s">
        <v>11</v>
      </c>
      <c r="D210" t="s">
        <v>149</v>
      </c>
      <c r="E210" t="str">
        <f>VLOOKUP(F210,References!$D$1:$F$50,3,TRUE)</f>
        <v>Data Engineer</v>
      </c>
      <c r="F210" t="s">
        <v>43</v>
      </c>
      <c r="G210">
        <v>20000</v>
      </c>
      <c r="H210" t="s">
        <v>77</v>
      </c>
      <c r="I210">
        <v>0</v>
      </c>
      <c r="J210" t="s">
        <v>29</v>
      </c>
      <c r="K210" t="str">
        <f>VLOOKUP(J210,CountryName!$B:$C,2,TRUE)</f>
        <v>North America</v>
      </c>
      <c r="L210" t="s">
        <v>151</v>
      </c>
    </row>
    <row r="211" spans="1:12" x14ac:dyDescent="0.2">
      <c r="A211" s="1">
        <v>2021</v>
      </c>
      <c r="B211" t="str">
        <f>VLOOKUP(C211,References!$A$5:$B$8,2,TRUE)</f>
        <v>Senior Level</v>
      </c>
      <c r="C211" t="s">
        <v>17</v>
      </c>
      <c r="D211" t="s">
        <v>147</v>
      </c>
      <c r="E211" t="str">
        <f>VLOOKUP(F211,References!$D$1:$F$50,3,TRUE)</f>
        <v>Manager</v>
      </c>
      <c r="F211" t="s">
        <v>105</v>
      </c>
      <c r="G211">
        <v>120000</v>
      </c>
      <c r="H211" t="s">
        <v>29</v>
      </c>
      <c r="I211">
        <v>0</v>
      </c>
      <c r="J211" t="s">
        <v>29</v>
      </c>
      <c r="K211" t="str">
        <f>VLOOKUP(J211,CountryName!$B:$C,2,TRUE)</f>
        <v>North America</v>
      </c>
      <c r="L211" t="s">
        <v>151</v>
      </c>
    </row>
    <row r="212" spans="1:12" x14ac:dyDescent="0.2">
      <c r="A212" s="1">
        <v>2021</v>
      </c>
      <c r="B212" t="str">
        <f>VLOOKUP(C212,References!$A$5:$B$8,2,TRUE)</f>
        <v>Mid level</v>
      </c>
      <c r="C212" t="s">
        <v>11</v>
      </c>
      <c r="D212" t="s">
        <v>147</v>
      </c>
      <c r="E212" t="str">
        <f>VLOOKUP(F212,References!$D$1:$F$50,3,TRUE)</f>
        <v>Machine Learning</v>
      </c>
      <c r="F212" t="s">
        <v>28</v>
      </c>
      <c r="G212">
        <v>24823</v>
      </c>
      <c r="H212" t="s">
        <v>118</v>
      </c>
      <c r="I212">
        <v>50</v>
      </c>
      <c r="J212" t="s">
        <v>118</v>
      </c>
      <c r="K212" t="str">
        <f>VLOOKUP(J212,CountryName!$B:$C,2,TRUE)</f>
        <v>Europe</v>
      </c>
      <c r="L212" t="s">
        <v>151</v>
      </c>
    </row>
    <row r="213" spans="1:12" x14ac:dyDescent="0.2">
      <c r="A213" s="1">
        <v>2021</v>
      </c>
      <c r="B213" t="str">
        <f>VLOOKUP(C213,References!$A$5:$B$8,2,TRUE)</f>
        <v>Mid level</v>
      </c>
      <c r="C213" t="s">
        <v>11</v>
      </c>
      <c r="D213" t="s">
        <v>147</v>
      </c>
      <c r="E213" t="str">
        <f>VLOOKUP(F213,References!$D$1:$F$50,3,TRUE)</f>
        <v>Scientist</v>
      </c>
      <c r="F213" t="s">
        <v>55</v>
      </c>
      <c r="G213">
        <v>56738</v>
      </c>
      <c r="H213" t="s">
        <v>38</v>
      </c>
      <c r="I213">
        <v>50</v>
      </c>
      <c r="J213" t="s">
        <v>38</v>
      </c>
      <c r="K213" t="str">
        <f>VLOOKUP(J213,CountryName!$B:$C,2,TRUE)</f>
        <v>Europe</v>
      </c>
      <c r="L213" t="s">
        <v>152</v>
      </c>
    </row>
    <row r="214" spans="1:12" x14ac:dyDescent="0.2">
      <c r="A214" s="1">
        <v>2021</v>
      </c>
      <c r="B214" t="str">
        <f>VLOOKUP(C214,References!$A$5:$B$8,2,TRUE)</f>
        <v>Mid level</v>
      </c>
      <c r="C214" t="s">
        <v>11</v>
      </c>
      <c r="D214" t="s">
        <v>147</v>
      </c>
      <c r="E214" t="str">
        <f>VLOOKUP(F214,References!$D$1:$F$50,3,TRUE)</f>
        <v>Data Engineer</v>
      </c>
      <c r="F214" t="s">
        <v>43</v>
      </c>
      <c r="G214">
        <v>66022</v>
      </c>
      <c r="H214" t="s">
        <v>119</v>
      </c>
      <c r="I214">
        <v>50</v>
      </c>
      <c r="J214" t="s">
        <v>24</v>
      </c>
      <c r="K214" t="str">
        <f>VLOOKUP(J214,CountryName!$B:$C,2,TRUE)</f>
        <v>Europe</v>
      </c>
      <c r="L214" t="s">
        <v>152</v>
      </c>
    </row>
    <row r="215" spans="1:12" x14ac:dyDescent="0.2">
      <c r="A215" s="1">
        <v>2021</v>
      </c>
      <c r="B215" t="str">
        <f>VLOOKUP(C215,References!$A$5:$B$8,2,TRUE)</f>
        <v>Entry Level</v>
      </c>
      <c r="C215" t="s">
        <v>30</v>
      </c>
      <c r="D215" t="s">
        <v>147</v>
      </c>
      <c r="E215" t="str">
        <f>VLOOKUP(F215,References!$D$1:$F$50,3,TRUE)</f>
        <v>Data Engineer</v>
      </c>
      <c r="F215" t="s">
        <v>22</v>
      </c>
      <c r="G215">
        <v>5882</v>
      </c>
      <c r="H215" t="s">
        <v>40</v>
      </c>
      <c r="I215">
        <v>0</v>
      </c>
      <c r="J215" t="s">
        <v>120</v>
      </c>
      <c r="K215" t="str">
        <f>VLOOKUP(J215,CountryName!$B:$C,2,TRUE)</f>
        <v>Europe</v>
      </c>
      <c r="L215" t="s">
        <v>151</v>
      </c>
    </row>
    <row r="216" spans="1:12" x14ac:dyDescent="0.2">
      <c r="A216" s="1">
        <v>2021</v>
      </c>
      <c r="B216" t="str">
        <f>VLOOKUP(C216,References!$A$5:$B$8,2,TRUE)</f>
        <v>Entry Level</v>
      </c>
      <c r="C216" t="s">
        <v>30</v>
      </c>
      <c r="D216" t="s">
        <v>147</v>
      </c>
      <c r="E216" t="str">
        <f>VLOOKUP(F216,References!$D$1:$F$50,3,TRUE)</f>
        <v>Machine Learning</v>
      </c>
      <c r="F216" t="s">
        <v>28</v>
      </c>
      <c r="G216">
        <v>24823</v>
      </c>
      <c r="H216" t="s">
        <v>15</v>
      </c>
      <c r="I216">
        <v>50</v>
      </c>
      <c r="J216" t="s">
        <v>15</v>
      </c>
      <c r="K216" t="str">
        <f>VLOOKUP(J216,CountryName!$B:$C,2,TRUE)</f>
        <v>Europe</v>
      </c>
      <c r="L216" t="s">
        <v>153</v>
      </c>
    </row>
    <row r="217" spans="1:12" x14ac:dyDescent="0.2">
      <c r="A217" s="1">
        <v>2021</v>
      </c>
      <c r="B217" t="str">
        <f>VLOOKUP(C217,References!$A$5:$B$8,2,TRUE)</f>
        <v>Senior Level</v>
      </c>
      <c r="C217" t="s">
        <v>17</v>
      </c>
      <c r="D217" t="s">
        <v>147</v>
      </c>
      <c r="E217" t="str">
        <f>VLOOKUP(F217,References!$D$1:$F$50,3,TRUE)</f>
        <v>Data Engineer</v>
      </c>
      <c r="F217" t="s">
        <v>97</v>
      </c>
      <c r="G217">
        <v>185000</v>
      </c>
      <c r="H217" t="s">
        <v>29</v>
      </c>
      <c r="I217">
        <v>100</v>
      </c>
      <c r="J217" t="s">
        <v>29</v>
      </c>
      <c r="K217" t="str">
        <f>VLOOKUP(J217,CountryName!$B:$C,2,TRUE)</f>
        <v>North America</v>
      </c>
      <c r="L217" t="s">
        <v>151</v>
      </c>
    </row>
    <row r="218" spans="1:12" x14ac:dyDescent="0.2">
      <c r="A218" s="1">
        <v>2021</v>
      </c>
      <c r="B218" t="str">
        <f>VLOOKUP(C218,References!$A$5:$B$8,2,TRUE)</f>
        <v>Entry Level</v>
      </c>
      <c r="C218" t="s">
        <v>30</v>
      </c>
      <c r="D218" t="s">
        <v>150</v>
      </c>
      <c r="E218" t="str">
        <f>VLOOKUP(F218,References!$D$1:$F$50,3,TRUE)</f>
        <v>Data Engineer</v>
      </c>
      <c r="F218" t="s">
        <v>74</v>
      </c>
      <c r="G218">
        <v>28609</v>
      </c>
      <c r="H218" t="s">
        <v>72</v>
      </c>
      <c r="I218">
        <v>50</v>
      </c>
      <c r="J218" t="s">
        <v>72</v>
      </c>
      <c r="K218" t="str">
        <f>VLOOKUP(J218,CountryName!$B:$C,2,TRUE)</f>
        <v>Europe</v>
      </c>
      <c r="L218" t="s">
        <v>152</v>
      </c>
    </row>
    <row r="219" spans="1:12" x14ac:dyDescent="0.2">
      <c r="A219" s="1">
        <v>2021</v>
      </c>
      <c r="B219" t="str">
        <f>VLOOKUP(C219,References!$A$5:$B$8,2,TRUE)</f>
        <v>Mid level</v>
      </c>
      <c r="C219" t="s">
        <v>11</v>
      </c>
      <c r="D219" t="s">
        <v>147</v>
      </c>
      <c r="E219" t="str">
        <f>VLOOKUP(F219,References!$D$1:$F$50,3,TRUE)</f>
        <v>Data Scientist</v>
      </c>
      <c r="F219" t="s">
        <v>13</v>
      </c>
      <c r="G219">
        <v>90734</v>
      </c>
      <c r="H219" t="s">
        <v>15</v>
      </c>
      <c r="I219">
        <v>50</v>
      </c>
      <c r="J219" t="s">
        <v>15</v>
      </c>
      <c r="K219" t="str">
        <f>VLOOKUP(J219,CountryName!$B:$C,2,TRUE)</f>
        <v>Europe</v>
      </c>
      <c r="L219" t="s">
        <v>151</v>
      </c>
    </row>
    <row r="220" spans="1:12" x14ac:dyDescent="0.2">
      <c r="A220" s="1">
        <v>2021</v>
      </c>
      <c r="B220" t="str">
        <f>VLOOKUP(C220,References!$A$5:$B$8,2,TRUE)</f>
        <v>Mid level</v>
      </c>
      <c r="C220" t="s">
        <v>11</v>
      </c>
      <c r="D220" t="s">
        <v>147</v>
      </c>
      <c r="E220" t="str">
        <f>VLOOKUP(F220,References!$D$1:$F$50,3,TRUE)</f>
        <v>Machine Learning</v>
      </c>
      <c r="F220" t="s">
        <v>28</v>
      </c>
      <c r="G220">
        <v>88654</v>
      </c>
      <c r="H220" t="s">
        <v>102</v>
      </c>
      <c r="I220">
        <v>100</v>
      </c>
      <c r="J220" t="s">
        <v>102</v>
      </c>
      <c r="K220" t="str">
        <f>VLOOKUP(J220,CountryName!$B:$C,2,TRUE)</f>
        <v>Europe</v>
      </c>
      <c r="L220" t="s">
        <v>153</v>
      </c>
    </row>
    <row r="221" spans="1:12" x14ac:dyDescent="0.2">
      <c r="A221" s="1">
        <v>2021</v>
      </c>
      <c r="B221" t="str">
        <f>VLOOKUP(C221,References!$A$5:$B$8,2,TRUE)</f>
        <v>Senior Level</v>
      </c>
      <c r="C221" t="s">
        <v>17</v>
      </c>
      <c r="D221" t="s">
        <v>147</v>
      </c>
      <c r="E221" t="str">
        <f>VLOOKUP(F221,References!$D$1:$F$50,3,TRUE)</f>
        <v>Manager</v>
      </c>
      <c r="F221" t="s">
        <v>105</v>
      </c>
      <c r="G221">
        <v>140000</v>
      </c>
      <c r="H221" t="s">
        <v>29</v>
      </c>
      <c r="I221">
        <v>100</v>
      </c>
      <c r="J221" t="s">
        <v>29</v>
      </c>
      <c r="K221" t="str">
        <f>VLOOKUP(J221,CountryName!$B:$C,2,TRUE)</f>
        <v>North America</v>
      </c>
      <c r="L221" t="s">
        <v>151</v>
      </c>
    </row>
    <row r="222" spans="1:12" x14ac:dyDescent="0.2">
      <c r="A222" s="1">
        <v>2021</v>
      </c>
      <c r="B222" t="str">
        <f>VLOOKUP(C222,References!$A$5:$B$8,2,TRUE)</f>
        <v>Mid level</v>
      </c>
      <c r="C222" t="s">
        <v>11</v>
      </c>
      <c r="D222" t="s">
        <v>147</v>
      </c>
      <c r="E222" t="str">
        <f>VLOOKUP(F222,References!$D$1:$F$50,3,TRUE)</f>
        <v>Machine Learning</v>
      </c>
      <c r="F222" t="s">
        <v>28</v>
      </c>
      <c r="G222">
        <v>46597</v>
      </c>
      <c r="H222" t="s">
        <v>45</v>
      </c>
      <c r="I222">
        <v>100</v>
      </c>
      <c r="J222" t="s">
        <v>45</v>
      </c>
      <c r="K222" t="str">
        <f>VLOOKUP(J222,CountryName!$B:$C,2,TRUE)</f>
        <v>Europe</v>
      </c>
      <c r="L222" t="s">
        <v>151</v>
      </c>
    </row>
    <row r="223" spans="1:12" x14ac:dyDescent="0.2">
      <c r="A223" s="1">
        <v>2021</v>
      </c>
      <c r="B223" t="str">
        <f>VLOOKUP(C223,References!$A$5:$B$8,2,TRUE)</f>
        <v>Mid level</v>
      </c>
      <c r="C223" t="s">
        <v>11</v>
      </c>
      <c r="D223" t="s">
        <v>147</v>
      </c>
      <c r="E223" t="str">
        <f>VLOOKUP(F223,References!$D$1:$F$50,3,TRUE)</f>
        <v>Data Scientist</v>
      </c>
      <c r="F223" t="s">
        <v>13</v>
      </c>
      <c r="G223">
        <v>116914</v>
      </c>
      <c r="H223" t="s">
        <v>24</v>
      </c>
      <c r="I223">
        <v>50</v>
      </c>
      <c r="J223" t="s">
        <v>24</v>
      </c>
      <c r="K223" t="str">
        <f>VLOOKUP(J223,CountryName!$B:$C,2,TRUE)</f>
        <v>Europe</v>
      </c>
      <c r="L223" t="s">
        <v>151</v>
      </c>
    </row>
    <row r="224" spans="1:12" x14ac:dyDescent="0.2">
      <c r="A224" s="1">
        <v>2021</v>
      </c>
      <c r="B224" t="str">
        <f>VLOOKUP(C224,References!$A$5:$B$8,2,TRUE)</f>
        <v>Mid level</v>
      </c>
      <c r="C224" t="s">
        <v>11</v>
      </c>
      <c r="D224" t="s">
        <v>147</v>
      </c>
      <c r="E224" t="str">
        <f>VLOOKUP(F224,References!$D$1:$F$50,3,TRUE)</f>
        <v>Data Scientist</v>
      </c>
      <c r="F224" t="s">
        <v>13</v>
      </c>
      <c r="G224">
        <v>33808</v>
      </c>
      <c r="H224" t="s">
        <v>40</v>
      </c>
      <c r="I224">
        <v>0</v>
      </c>
      <c r="J224" t="s">
        <v>40</v>
      </c>
      <c r="K224" t="str">
        <f>VLOOKUP(J224,CountryName!$B:$C,2,TRUE)</f>
        <v>Asia</v>
      </c>
      <c r="L224" t="s">
        <v>153</v>
      </c>
    </row>
    <row r="225" spans="1:12" x14ac:dyDescent="0.2">
      <c r="A225" s="1">
        <v>2021</v>
      </c>
      <c r="B225" t="str">
        <f>VLOOKUP(C225,References!$A$5:$B$8,2,TRUE)</f>
        <v>Mid level</v>
      </c>
      <c r="C225" t="s">
        <v>11</v>
      </c>
      <c r="D225" t="s">
        <v>147</v>
      </c>
      <c r="E225" t="str">
        <f>VLOOKUP(F225,References!$D$1:$F$50,3,TRUE)</f>
        <v>Data Scientist</v>
      </c>
      <c r="F225" t="s">
        <v>13</v>
      </c>
      <c r="G225">
        <v>56256</v>
      </c>
      <c r="H225" t="s">
        <v>24</v>
      </c>
      <c r="I225">
        <v>50</v>
      </c>
      <c r="J225" t="s">
        <v>24</v>
      </c>
      <c r="K225" t="str">
        <f>VLOOKUP(J225,CountryName!$B:$C,2,TRUE)</f>
        <v>Europe</v>
      </c>
      <c r="L225" t="s">
        <v>151</v>
      </c>
    </row>
    <row r="226" spans="1:12" x14ac:dyDescent="0.2">
      <c r="A226" s="1">
        <v>2021</v>
      </c>
      <c r="B226" t="str">
        <f>VLOOKUP(C226,References!$A$5:$B$8,2,TRUE)</f>
        <v>Senior Level</v>
      </c>
      <c r="C226" t="s">
        <v>17</v>
      </c>
      <c r="D226" t="s">
        <v>147</v>
      </c>
      <c r="E226" t="str">
        <f>VLOOKUP(F226,References!$D$1:$F$50,3,TRUE)</f>
        <v>Scientist</v>
      </c>
      <c r="F226" t="s">
        <v>18</v>
      </c>
      <c r="G226">
        <v>225000</v>
      </c>
      <c r="H226" t="s">
        <v>29</v>
      </c>
      <c r="I226">
        <v>100</v>
      </c>
      <c r="J226" t="s">
        <v>62</v>
      </c>
      <c r="K226" t="str">
        <f>VLOOKUP(J226,CountryName!$B:$C,2,TRUE)</f>
        <v>North America</v>
      </c>
      <c r="L226" t="s">
        <v>151</v>
      </c>
    </row>
    <row r="227" spans="1:12" x14ac:dyDescent="0.2">
      <c r="A227" s="1">
        <v>2021</v>
      </c>
      <c r="B227" t="str">
        <f>VLOOKUP(C227,References!$A$5:$B$8,2,TRUE)</f>
        <v>Expert Level</v>
      </c>
      <c r="C227" t="s">
        <v>53</v>
      </c>
      <c r="D227" t="s">
        <v>148</v>
      </c>
      <c r="E227" t="str">
        <f>VLOOKUP(F227,References!$D$1:$F$50,3,TRUE)</f>
        <v>Scientist</v>
      </c>
      <c r="F227" t="s">
        <v>76</v>
      </c>
      <c r="G227">
        <v>416000</v>
      </c>
      <c r="H227" t="s">
        <v>29</v>
      </c>
      <c r="I227">
        <v>100</v>
      </c>
      <c r="J227" t="s">
        <v>29</v>
      </c>
      <c r="K227" t="str">
        <f>VLOOKUP(J227,CountryName!$B:$C,2,TRUE)</f>
        <v>North America</v>
      </c>
      <c r="L227" t="s">
        <v>152</v>
      </c>
    </row>
    <row r="228" spans="1:12" x14ac:dyDescent="0.2">
      <c r="A228" s="1">
        <v>2021</v>
      </c>
      <c r="B228" t="str">
        <f>VLOOKUP(C228,References!$A$5:$B$8,2,TRUE)</f>
        <v>Senior Level</v>
      </c>
      <c r="C228" t="s">
        <v>17</v>
      </c>
      <c r="D228" t="s">
        <v>147</v>
      </c>
      <c r="E228" t="str">
        <f>VLOOKUP(F228,References!$D$1:$F$50,3,TRUE)</f>
        <v>Data Scientist</v>
      </c>
      <c r="F228" t="s">
        <v>13</v>
      </c>
      <c r="G228">
        <v>87738</v>
      </c>
      <c r="H228" t="s">
        <v>62</v>
      </c>
      <c r="I228">
        <v>100</v>
      </c>
      <c r="J228" t="s">
        <v>62</v>
      </c>
      <c r="K228" t="str">
        <f>VLOOKUP(J228,CountryName!$B:$C,2,TRUE)</f>
        <v>North America</v>
      </c>
      <c r="L228" t="s">
        <v>152</v>
      </c>
    </row>
    <row r="229" spans="1:12" x14ac:dyDescent="0.2">
      <c r="A229" s="1">
        <v>2021</v>
      </c>
      <c r="B229" t="str">
        <f>VLOOKUP(C229,References!$A$5:$B$8,2,TRUE)</f>
        <v>Mid level</v>
      </c>
      <c r="C229" t="s">
        <v>11</v>
      </c>
      <c r="D229" t="s">
        <v>147</v>
      </c>
      <c r="E229" t="str">
        <f>VLOOKUP(F229,References!$D$1:$F$50,3,TRUE)</f>
        <v>Data Scientist</v>
      </c>
      <c r="F229" t="s">
        <v>13</v>
      </c>
      <c r="G229">
        <v>88654</v>
      </c>
      <c r="H229" t="s">
        <v>15</v>
      </c>
      <c r="I229">
        <v>50</v>
      </c>
      <c r="J229" t="s">
        <v>15</v>
      </c>
      <c r="K229" t="str">
        <f>VLOOKUP(J229,CountryName!$B:$C,2,TRUE)</f>
        <v>Europe</v>
      </c>
      <c r="L229" t="s">
        <v>151</v>
      </c>
    </row>
    <row r="230" spans="1:12" x14ac:dyDescent="0.2">
      <c r="A230" s="1">
        <v>2021</v>
      </c>
      <c r="B230" t="str">
        <f>VLOOKUP(C230,References!$A$5:$B$8,2,TRUE)</f>
        <v>Senior Level</v>
      </c>
      <c r="C230" t="s">
        <v>17</v>
      </c>
      <c r="D230" t="s">
        <v>147</v>
      </c>
      <c r="E230" t="str">
        <f>VLOOKUP(F230,References!$D$1:$F$50,3,TRUE)</f>
        <v>Data Scientist</v>
      </c>
      <c r="F230" t="s">
        <v>13</v>
      </c>
      <c r="G230">
        <v>135000</v>
      </c>
      <c r="H230" t="s">
        <v>29</v>
      </c>
      <c r="I230">
        <v>0</v>
      </c>
      <c r="J230" t="s">
        <v>29</v>
      </c>
      <c r="K230" t="str">
        <f>VLOOKUP(J230,CountryName!$B:$C,2,TRUE)</f>
        <v>North America</v>
      </c>
      <c r="L230" t="s">
        <v>151</v>
      </c>
    </row>
    <row r="231" spans="1:12" x14ac:dyDescent="0.2">
      <c r="A231" s="1">
        <v>2021</v>
      </c>
      <c r="B231" t="str">
        <f>VLOOKUP(C231,References!$A$5:$B$8,2,TRUE)</f>
        <v>Senior Level</v>
      </c>
      <c r="C231" t="s">
        <v>17</v>
      </c>
      <c r="D231" t="s">
        <v>147</v>
      </c>
      <c r="E231" t="str">
        <f>VLOOKUP(F231,References!$D$1:$F$50,3,TRUE)</f>
        <v>Data Analyst</v>
      </c>
      <c r="F231" t="s">
        <v>31</v>
      </c>
      <c r="G231">
        <v>71786</v>
      </c>
      <c r="H231" t="s">
        <v>62</v>
      </c>
      <c r="I231">
        <v>100</v>
      </c>
      <c r="J231" t="s">
        <v>62</v>
      </c>
      <c r="K231" t="str">
        <f>VLOOKUP(J231,CountryName!$B:$C,2,TRUE)</f>
        <v>North America</v>
      </c>
      <c r="L231" t="s">
        <v>153</v>
      </c>
    </row>
    <row r="232" spans="1:12" x14ac:dyDescent="0.2">
      <c r="A232" s="1">
        <v>2021</v>
      </c>
      <c r="B232" t="str">
        <f>VLOOKUP(C232,References!$A$5:$B$8,2,TRUE)</f>
        <v>Entry Level</v>
      </c>
      <c r="C232" t="s">
        <v>30</v>
      </c>
      <c r="D232" t="s">
        <v>147</v>
      </c>
      <c r="E232" t="str">
        <f>VLOOKUP(F232,References!$D$1:$F$50,3,TRUE)</f>
        <v>Data Engineer</v>
      </c>
      <c r="F232" t="s">
        <v>22</v>
      </c>
      <c r="G232">
        <v>16228</v>
      </c>
      <c r="H232" t="s">
        <v>40</v>
      </c>
      <c r="I232">
        <v>100</v>
      </c>
      <c r="J232" t="s">
        <v>40</v>
      </c>
      <c r="K232" t="str">
        <f>VLOOKUP(J232,CountryName!$B:$C,2,TRUE)</f>
        <v>Asia</v>
      </c>
      <c r="L232" t="s">
        <v>151</v>
      </c>
    </row>
    <row r="233" spans="1:12" x14ac:dyDescent="0.2">
      <c r="A233" s="1">
        <v>2021</v>
      </c>
      <c r="B233" t="str">
        <f>VLOOKUP(C233,References!$A$5:$B$8,2,TRUE)</f>
        <v>Senior Level</v>
      </c>
      <c r="C233" t="s">
        <v>17</v>
      </c>
      <c r="D233" t="s">
        <v>147</v>
      </c>
      <c r="E233" t="str">
        <f>VLOOKUP(F233,References!$D$1:$F$50,3,TRUE)</f>
        <v>Machine Learning</v>
      </c>
      <c r="F233" t="s">
        <v>69</v>
      </c>
      <c r="G233">
        <v>256000</v>
      </c>
      <c r="H233" t="s">
        <v>29</v>
      </c>
      <c r="I233">
        <v>100</v>
      </c>
      <c r="J233" t="s">
        <v>29</v>
      </c>
      <c r="K233" t="str">
        <f>VLOOKUP(J233,CountryName!$B:$C,2,TRUE)</f>
        <v>North America</v>
      </c>
      <c r="L233" t="s">
        <v>152</v>
      </c>
    </row>
    <row r="234" spans="1:12" x14ac:dyDescent="0.2">
      <c r="A234" s="1">
        <v>2021</v>
      </c>
      <c r="B234" t="str">
        <f>VLOOKUP(C234,References!$A$5:$B$8,2,TRUE)</f>
        <v>Senior Level</v>
      </c>
      <c r="C234" t="s">
        <v>17</v>
      </c>
      <c r="D234" t="s">
        <v>147</v>
      </c>
      <c r="E234" t="str">
        <f>VLOOKUP(F234,References!$D$1:$F$50,3,TRUE)</f>
        <v>Manager</v>
      </c>
      <c r="F234" t="s">
        <v>94</v>
      </c>
      <c r="G234">
        <v>200000</v>
      </c>
      <c r="H234" t="s">
        <v>29</v>
      </c>
      <c r="I234">
        <v>100</v>
      </c>
      <c r="J234" t="s">
        <v>29</v>
      </c>
      <c r="K234" t="str">
        <f>VLOOKUP(J234,CountryName!$B:$C,2,TRUE)</f>
        <v>North America</v>
      </c>
      <c r="L234" t="s">
        <v>151</v>
      </c>
    </row>
    <row r="235" spans="1:12" x14ac:dyDescent="0.2">
      <c r="A235" s="1">
        <v>2021</v>
      </c>
      <c r="B235" t="str">
        <f>VLOOKUP(C235,References!$A$5:$B$8,2,TRUE)</f>
        <v>Senior Level</v>
      </c>
      <c r="C235" t="s">
        <v>17</v>
      </c>
      <c r="D235" t="s">
        <v>147</v>
      </c>
      <c r="E235" t="str">
        <f>VLOOKUP(F235,References!$D$1:$F$50,3,TRUE)</f>
        <v>Data Analyst</v>
      </c>
      <c r="F235" t="s">
        <v>31</v>
      </c>
      <c r="G235">
        <v>200000</v>
      </c>
      <c r="H235" t="s">
        <v>29</v>
      </c>
      <c r="I235">
        <v>100</v>
      </c>
      <c r="J235" t="s">
        <v>29</v>
      </c>
      <c r="K235" t="str">
        <f>VLOOKUP(J235,CountryName!$B:$C,2,TRUE)</f>
        <v>North America</v>
      </c>
      <c r="L235" t="s">
        <v>151</v>
      </c>
    </row>
    <row r="236" spans="1:12" x14ac:dyDescent="0.2">
      <c r="A236" s="1">
        <v>2021</v>
      </c>
      <c r="B236" t="str">
        <f>VLOOKUP(C236,References!$A$5:$B$8,2,TRUE)</f>
        <v>Mid level</v>
      </c>
      <c r="C236" t="s">
        <v>11</v>
      </c>
      <c r="D236" t="s">
        <v>147</v>
      </c>
      <c r="E236" t="str">
        <f>VLOOKUP(F236,References!$D$1:$F$50,3,TRUE)</f>
        <v>Data Engineer</v>
      </c>
      <c r="F236" t="s">
        <v>109</v>
      </c>
      <c r="G236">
        <v>180000</v>
      </c>
      <c r="H236" t="s">
        <v>29</v>
      </c>
      <c r="I236">
        <v>100</v>
      </c>
      <c r="J236" t="s">
        <v>29</v>
      </c>
      <c r="K236" t="str">
        <f>VLOOKUP(J236,CountryName!$B:$C,2,TRUE)</f>
        <v>North America</v>
      </c>
      <c r="L236" t="s">
        <v>151</v>
      </c>
    </row>
    <row r="237" spans="1:12" x14ac:dyDescent="0.2">
      <c r="A237" s="1">
        <v>2021</v>
      </c>
      <c r="B237" t="str">
        <f>VLOOKUP(C237,References!$A$5:$B$8,2,TRUE)</f>
        <v>Mid level</v>
      </c>
      <c r="C237" t="s">
        <v>11</v>
      </c>
      <c r="D237" t="s">
        <v>147</v>
      </c>
      <c r="E237" t="str">
        <f>VLOOKUP(F237,References!$D$1:$F$50,3,TRUE)</f>
        <v>Manager</v>
      </c>
      <c r="F237" t="s">
        <v>106</v>
      </c>
      <c r="G237">
        <v>110000</v>
      </c>
      <c r="H237" t="s">
        <v>29</v>
      </c>
      <c r="I237">
        <v>0</v>
      </c>
      <c r="J237" t="s">
        <v>29</v>
      </c>
      <c r="K237" t="str">
        <f>VLOOKUP(J237,CountryName!$B:$C,2,TRUE)</f>
        <v>North America</v>
      </c>
      <c r="L237" t="s">
        <v>152</v>
      </c>
    </row>
    <row r="238" spans="1:12" x14ac:dyDescent="0.2">
      <c r="A238" s="1">
        <v>2021</v>
      </c>
      <c r="B238" t="str">
        <f>VLOOKUP(C238,References!$A$5:$B$8,2,TRUE)</f>
        <v>Mid level</v>
      </c>
      <c r="C238" t="s">
        <v>11</v>
      </c>
      <c r="D238" t="s">
        <v>147</v>
      </c>
      <c r="E238" t="str">
        <f>VLOOKUP(F238,References!$D$1:$F$50,3,TRUE)</f>
        <v>Scientist</v>
      </c>
      <c r="F238" t="s">
        <v>55</v>
      </c>
      <c r="G238">
        <v>63810</v>
      </c>
      <c r="H238" t="s">
        <v>62</v>
      </c>
      <c r="I238">
        <v>100</v>
      </c>
      <c r="J238" t="s">
        <v>62</v>
      </c>
      <c r="K238" t="str">
        <f>VLOOKUP(J238,CountryName!$B:$C,2,TRUE)</f>
        <v>North America</v>
      </c>
      <c r="L238" t="s">
        <v>153</v>
      </c>
    </row>
    <row r="239" spans="1:12" x14ac:dyDescent="0.2">
      <c r="A239" s="1">
        <v>2021</v>
      </c>
      <c r="B239" t="str">
        <f>VLOOKUP(C239,References!$A$5:$B$8,2,TRUE)</f>
        <v>Mid level</v>
      </c>
      <c r="C239" t="s">
        <v>11</v>
      </c>
      <c r="D239" t="s">
        <v>147</v>
      </c>
      <c r="E239" t="str">
        <f>VLOOKUP(F239,References!$D$1:$F$50,3,TRUE)</f>
        <v>Data Scientist</v>
      </c>
      <c r="F239" t="s">
        <v>13</v>
      </c>
      <c r="G239">
        <v>46809</v>
      </c>
      <c r="H239" t="s">
        <v>67</v>
      </c>
      <c r="I239">
        <v>100</v>
      </c>
      <c r="J239" t="s">
        <v>67</v>
      </c>
      <c r="K239" t="str">
        <f>VLOOKUP(J239,CountryName!$B:$C,2,TRUE)</f>
        <v>Europe</v>
      </c>
      <c r="L239" t="s">
        <v>153</v>
      </c>
    </row>
    <row r="240" spans="1:12" x14ac:dyDescent="0.2">
      <c r="A240" s="1">
        <v>2021</v>
      </c>
      <c r="B240" t="str">
        <f>VLOOKUP(C240,References!$A$5:$B$8,2,TRUE)</f>
        <v>Entry Level</v>
      </c>
      <c r="C240" t="s">
        <v>30</v>
      </c>
      <c r="D240" t="s">
        <v>147</v>
      </c>
      <c r="E240" t="str">
        <f>VLOOKUP(F240,References!$D$1:$F$50,3,TRUE)</f>
        <v>Data Scientist</v>
      </c>
      <c r="F240" t="s">
        <v>13</v>
      </c>
      <c r="G240">
        <v>4000</v>
      </c>
      <c r="H240" t="s">
        <v>101</v>
      </c>
      <c r="I240">
        <v>0</v>
      </c>
      <c r="J240" t="s">
        <v>101</v>
      </c>
      <c r="K240" t="str">
        <f>VLOOKUP(J240,CountryName!$B:$C,2,TRUE)</f>
        <v>Asia</v>
      </c>
      <c r="L240" t="s">
        <v>153</v>
      </c>
    </row>
    <row r="241" spans="1:12" x14ac:dyDescent="0.2">
      <c r="A241" s="1">
        <v>2021</v>
      </c>
      <c r="B241" t="str">
        <f>VLOOKUP(C241,References!$A$5:$B$8,2,TRUE)</f>
        <v>Entry Level</v>
      </c>
      <c r="C241" t="s">
        <v>30</v>
      </c>
      <c r="D241" t="s">
        <v>147</v>
      </c>
      <c r="E241" t="str">
        <f>VLOOKUP(F241,References!$D$1:$F$50,3,TRUE)</f>
        <v>Data Engineer</v>
      </c>
      <c r="F241" t="s">
        <v>43</v>
      </c>
      <c r="G241">
        <v>21637</v>
      </c>
      <c r="H241" t="s">
        <v>40</v>
      </c>
      <c r="I241">
        <v>50</v>
      </c>
      <c r="J241" t="s">
        <v>40</v>
      </c>
      <c r="K241" t="str">
        <f>VLOOKUP(J241,CountryName!$B:$C,2,TRUE)</f>
        <v>Asia</v>
      </c>
      <c r="L241" t="s">
        <v>153</v>
      </c>
    </row>
    <row r="242" spans="1:12" x14ac:dyDescent="0.2">
      <c r="A242" s="1">
        <v>2021</v>
      </c>
      <c r="B242" t="str">
        <f>VLOOKUP(C242,References!$A$5:$B$8,2,TRUE)</f>
        <v>Senior Level</v>
      </c>
      <c r="C242" t="s">
        <v>17</v>
      </c>
      <c r="D242" t="s">
        <v>147</v>
      </c>
      <c r="E242" t="str">
        <f>VLOOKUP(F242,References!$D$1:$F$50,3,TRUE)</f>
        <v>Data Scientist</v>
      </c>
      <c r="F242" t="s">
        <v>13</v>
      </c>
      <c r="G242">
        <v>103691</v>
      </c>
      <c r="H242" t="s">
        <v>62</v>
      </c>
      <c r="I242">
        <v>100</v>
      </c>
      <c r="J242" t="s">
        <v>62</v>
      </c>
      <c r="K242" t="str">
        <f>VLOOKUP(J242,CountryName!$B:$C,2,TRUE)</f>
        <v>North America</v>
      </c>
      <c r="L242" t="s">
        <v>151</v>
      </c>
    </row>
    <row r="243" spans="1:12" x14ac:dyDescent="0.2">
      <c r="A243" s="1">
        <v>2021</v>
      </c>
      <c r="B243" t="str">
        <f>VLOOKUP(C243,References!$A$5:$B$8,2,TRUE)</f>
        <v>Mid level</v>
      </c>
      <c r="C243" t="s">
        <v>11</v>
      </c>
      <c r="D243" t="s">
        <v>147</v>
      </c>
      <c r="E243" t="str">
        <f>VLOOKUP(F243,References!$D$1:$F$50,3,TRUE)</f>
        <v>Data Analyst</v>
      </c>
      <c r="F243" t="s">
        <v>31</v>
      </c>
      <c r="G243">
        <v>80000</v>
      </c>
      <c r="H243" t="s">
        <v>29</v>
      </c>
      <c r="I243">
        <v>100</v>
      </c>
      <c r="J243" t="s">
        <v>29</v>
      </c>
      <c r="K243" t="str">
        <f>VLOOKUP(J243,CountryName!$B:$C,2,TRUE)</f>
        <v>North America</v>
      </c>
      <c r="L243" t="s">
        <v>151</v>
      </c>
    </row>
    <row r="244" spans="1:12" x14ac:dyDescent="0.2">
      <c r="A244" s="1">
        <v>2021</v>
      </c>
      <c r="B244" t="str">
        <f>VLOOKUP(C244,References!$A$5:$B$8,2,TRUE)</f>
        <v>Mid level</v>
      </c>
      <c r="C244" t="s">
        <v>11</v>
      </c>
      <c r="D244" t="s">
        <v>147</v>
      </c>
      <c r="E244" t="str">
        <f>VLOOKUP(F244,References!$D$1:$F$50,3,TRUE)</f>
        <v>Data Engineer</v>
      </c>
      <c r="F244" t="s">
        <v>43</v>
      </c>
      <c r="G244">
        <v>110000</v>
      </c>
      <c r="H244" t="s">
        <v>29</v>
      </c>
      <c r="I244">
        <v>100</v>
      </c>
      <c r="J244" t="s">
        <v>29</v>
      </c>
      <c r="K244" t="str">
        <f>VLOOKUP(J244,CountryName!$B:$C,2,TRUE)</f>
        <v>North America</v>
      </c>
      <c r="L244" t="s">
        <v>151</v>
      </c>
    </row>
    <row r="245" spans="1:12" x14ac:dyDescent="0.2">
      <c r="A245" s="1">
        <v>2021</v>
      </c>
      <c r="B245" t="str">
        <f>VLOOKUP(C245,References!$A$5:$B$8,2,TRUE)</f>
        <v>Senior Level</v>
      </c>
      <c r="C245" t="s">
        <v>17</v>
      </c>
      <c r="D245" t="s">
        <v>147</v>
      </c>
      <c r="E245" t="str">
        <f>VLOOKUP(F245,References!$D$1:$F$50,3,TRUE)</f>
        <v>Data Scientist</v>
      </c>
      <c r="F245" t="s">
        <v>13</v>
      </c>
      <c r="G245">
        <v>165000</v>
      </c>
      <c r="H245" t="s">
        <v>29</v>
      </c>
      <c r="I245">
        <v>100</v>
      </c>
      <c r="J245" t="s">
        <v>29</v>
      </c>
      <c r="K245" t="str">
        <f>VLOOKUP(J245,CountryName!$B:$C,2,TRUE)</f>
        <v>North America</v>
      </c>
      <c r="L245" t="s">
        <v>151</v>
      </c>
    </row>
    <row r="246" spans="1:12" x14ac:dyDescent="0.2">
      <c r="A246" s="1">
        <v>2021</v>
      </c>
      <c r="B246" t="str">
        <f>VLOOKUP(C246,References!$A$5:$B$8,2,TRUE)</f>
        <v>Entry Level</v>
      </c>
      <c r="C246" t="s">
        <v>30</v>
      </c>
      <c r="D246" t="s">
        <v>147</v>
      </c>
      <c r="E246" t="str">
        <f>VLOOKUP(F246,References!$D$1:$F$50,3,TRUE)</f>
        <v>Data Scientist</v>
      </c>
      <c r="F246" t="s">
        <v>70</v>
      </c>
      <c r="G246">
        <v>18053</v>
      </c>
      <c r="H246" t="s">
        <v>40</v>
      </c>
      <c r="I246">
        <v>100</v>
      </c>
      <c r="J246" t="s">
        <v>121</v>
      </c>
      <c r="K246" t="str">
        <f>VLOOKUP(J246,CountryName!$B:$C,2,TRUE)</f>
        <v>Oceania</v>
      </c>
      <c r="L246" t="s">
        <v>152</v>
      </c>
    </row>
    <row r="247" spans="1:12" x14ac:dyDescent="0.2">
      <c r="A247" s="1">
        <v>2021</v>
      </c>
      <c r="B247" t="str">
        <f>VLOOKUP(C247,References!$A$5:$B$8,2,TRUE)</f>
        <v>Mid level</v>
      </c>
      <c r="C247" t="s">
        <v>11</v>
      </c>
      <c r="D247" t="s">
        <v>147</v>
      </c>
      <c r="E247" t="str">
        <f>VLOOKUP(F247,References!$D$1:$F$50,3,TRUE)</f>
        <v>Data Engineer</v>
      </c>
      <c r="F247" t="s">
        <v>43</v>
      </c>
      <c r="G247">
        <v>72212</v>
      </c>
      <c r="H247" t="s">
        <v>24</v>
      </c>
      <c r="I247">
        <v>50</v>
      </c>
      <c r="J247" t="s">
        <v>24</v>
      </c>
      <c r="K247" t="str">
        <f>VLOOKUP(J247,CountryName!$B:$C,2,TRUE)</f>
        <v>Europe</v>
      </c>
      <c r="L247" t="s">
        <v>151</v>
      </c>
    </row>
    <row r="248" spans="1:12" x14ac:dyDescent="0.2">
      <c r="A248" s="1">
        <v>2021</v>
      </c>
      <c r="B248" t="str">
        <f>VLOOKUP(C248,References!$A$5:$B$8,2,TRUE)</f>
        <v>Entry Level</v>
      </c>
      <c r="C248" t="s">
        <v>30</v>
      </c>
      <c r="D248" t="s">
        <v>147</v>
      </c>
      <c r="E248" t="str">
        <f>VLOOKUP(F248,References!$D$1:$F$50,3,TRUE)</f>
        <v>Data Scientist</v>
      </c>
      <c r="F248" t="s">
        <v>13</v>
      </c>
      <c r="G248">
        <v>36643</v>
      </c>
      <c r="H248" t="s">
        <v>38</v>
      </c>
      <c r="I248">
        <v>50</v>
      </c>
      <c r="J248" t="s">
        <v>38</v>
      </c>
      <c r="K248" t="str">
        <f>VLOOKUP(J248,CountryName!$B:$C,2,TRUE)</f>
        <v>Europe</v>
      </c>
      <c r="L248" t="s">
        <v>151</v>
      </c>
    </row>
    <row r="249" spans="1:12" x14ac:dyDescent="0.2">
      <c r="A249" s="1">
        <v>2021</v>
      </c>
      <c r="B249" t="str">
        <f>VLOOKUP(C249,References!$A$5:$B$8,2,TRUE)</f>
        <v>Mid level</v>
      </c>
      <c r="C249" t="s">
        <v>11</v>
      </c>
      <c r="D249" t="s">
        <v>147</v>
      </c>
      <c r="E249" t="str">
        <f>VLOOKUP(F249,References!$D$1:$F$50,3,TRUE)</f>
        <v>Data Engineer</v>
      </c>
      <c r="F249" t="s">
        <v>43</v>
      </c>
      <c r="G249">
        <v>12103</v>
      </c>
      <c r="H249" t="s">
        <v>123</v>
      </c>
      <c r="I249">
        <v>0</v>
      </c>
      <c r="J249" t="s">
        <v>123</v>
      </c>
      <c r="K249" t="str">
        <f>VLOOKUP(J249,CountryName!$B:$C,2,TRUE)</f>
        <v>Europe</v>
      </c>
      <c r="L249" t="s">
        <v>153</v>
      </c>
    </row>
    <row r="250" spans="1:12" x14ac:dyDescent="0.2">
      <c r="A250" s="1">
        <v>2021</v>
      </c>
      <c r="B250" t="str">
        <f>VLOOKUP(C250,References!$A$5:$B$8,2,TRUE)</f>
        <v>Senior Level</v>
      </c>
      <c r="C250" t="s">
        <v>17</v>
      </c>
      <c r="D250" t="s">
        <v>147</v>
      </c>
      <c r="E250" t="str">
        <f>VLOOKUP(F250,References!$D$1:$F$50,3,TRUE)</f>
        <v>Data Engineer</v>
      </c>
      <c r="F250" t="s">
        <v>43</v>
      </c>
      <c r="G250">
        <v>96282</v>
      </c>
      <c r="H250" t="s">
        <v>24</v>
      </c>
      <c r="I250">
        <v>50</v>
      </c>
      <c r="J250" t="s">
        <v>24</v>
      </c>
      <c r="K250" t="str">
        <f>VLOOKUP(J250,CountryName!$B:$C,2,TRUE)</f>
        <v>Europe</v>
      </c>
      <c r="L250" t="s">
        <v>151</v>
      </c>
    </row>
    <row r="251" spans="1:12" x14ac:dyDescent="0.2">
      <c r="A251" s="1">
        <v>2021</v>
      </c>
      <c r="B251" t="str">
        <f>VLOOKUP(C251,References!$A$5:$B$8,2,TRUE)</f>
        <v>Senior Level</v>
      </c>
      <c r="C251" t="s">
        <v>17</v>
      </c>
      <c r="D251" t="s">
        <v>147</v>
      </c>
      <c r="E251" t="str">
        <f>VLOOKUP(F251,References!$D$1:$F$50,3,TRUE)</f>
        <v>Data Analyst</v>
      </c>
      <c r="F251" t="s">
        <v>124</v>
      </c>
      <c r="G251">
        <v>170000</v>
      </c>
      <c r="H251" t="s">
        <v>29</v>
      </c>
      <c r="I251">
        <v>100</v>
      </c>
      <c r="J251" t="s">
        <v>29</v>
      </c>
      <c r="K251" t="str">
        <f>VLOOKUP(J251,CountryName!$B:$C,2,TRUE)</f>
        <v>North America</v>
      </c>
      <c r="L251" t="s">
        <v>153</v>
      </c>
    </row>
    <row r="252" spans="1:12" x14ac:dyDescent="0.2">
      <c r="A252" s="1">
        <v>2021</v>
      </c>
      <c r="B252" t="str">
        <f>VLOOKUP(C252,References!$A$5:$B$8,2,TRUE)</f>
        <v>Mid level</v>
      </c>
      <c r="C252" t="s">
        <v>11</v>
      </c>
      <c r="D252" t="s">
        <v>147</v>
      </c>
      <c r="E252" t="str">
        <f>VLOOKUP(F252,References!$D$1:$F$50,3,TRUE)</f>
        <v>Data Scientist</v>
      </c>
      <c r="F252" t="s">
        <v>13</v>
      </c>
      <c r="G252">
        <v>115000</v>
      </c>
      <c r="H252" t="s">
        <v>29</v>
      </c>
      <c r="I252">
        <v>50</v>
      </c>
      <c r="J252" t="s">
        <v>29</v>
      </c>
      <c r="K252" t="str">
        <f>VLOOKUP(J252,CountryName!$B:$C,2,TRUE)</f>
        <v>North America</v>
      </c>
      <c r="L252" t="s">
        <v>151</v>
      </c>
    </row>
    <row r="253" spans="1:12" x14ac:dyDescent="0.2">
      <c r="A253" s="1">
        <v>2021</v>
      </c>
      <c r="B253" t="str">
        <f>VLOOKUP(C253,References!$A$5:$B$8,2,TRUE)</f>
        <v>Entry Level</v>
      </c>
      <c r="C253" t="s">
        <v>30</v>
      </c>
      <c r="D253" t="s">
        <v>147</v>
      </c>
      <c r="E253" t="str">
        <f>VLOOKUP(F253,References!$D$1:$F$50,3,TRUE)</f>
        <v>Data Scientist</v>
      </c>
      <c r="F253" t="s">
        <v>13</v>
      </c>
      <c r="G253">
        <v>90000</v>
      </c>
      <c r="H253" t="s">
        <v>29</v>
      </c>
      <c r="I253">
        <v>100</v>
      </c>
      <c r="J253" t="s">
        <v>29</v>
      </c>
      <c r="K253" t="str">
        <f>VLOOKUP(J253,CountryName!$B:$C,2,TRUE)</f>
        <v>North America</v>
      </c>
      <c r="L253" t="s">
        <v>152</v>
      </c>
    </row>
    <row r="254" spans="1:12" x14ac:dyDescent="0.2">
      <c r="A254" s="1">
        <v>2021</v>
      </c>
      <c r="B254" t="str">
        <f>VLOOKUP(C254,References!$A$5:$B$8,2,TRUE)</f>
        <v>Expert Level</v>
      </c>
      <c r="C254" t="s">
        <v>53</v>
      </c>
      <c r="D254" t="s">
        <v>147</v>
      </c>
      <c r="E254" t="str">
        <f>VLOOKUP(F254,References!$D$1:$F$50,3,TRUE)</f>
        <v>Data Engineer</v>
      </c>
      <c r="F254" t="s">
        <v>97</v>
      </c>
      <c r="G254">
        <v>600000</v>
      </c>
      <c r="H254" t="s">
        <v>29</v>
      </c>
      <c r="I254">
        <v>100</v>
      </c>
      <c r="J254" t="s">
        <v>29</v>
      </c>
      <c r="K254" t="str">
        <f>VLOOKUP(J254,CountryName!$B:$C,2,TRUE)</f>
        <v>North America</v>
      </c>
      <c r="L254" t="s">
        <v>151</v>
      </c>
    </row>
    <row r="255" spans="1:12" x14ac:dyDescent="0.2">
      <c r="A255" s="1">
        <v>2021</v>
      </c>
      <c r="B255" t="str">
        <f>VLOOKUP(C255,References!$A$5:$B$8,2,TRUE)</f>
        <v>Entry Level</v>
      </c>
      <c r="C255" t="s">
        <v>30</v>
      </c>
      <c r="D255" t="s">
        <v>147</v>
      </c>
      <c r="E255" t="str">
        <f>VLOOKUP(F255,References!$D$1:$F$50,3,TRUE)</f>
        <v>Data Scientist</v>
      </c>
      <c r="F255" t="s">
        <v>13</v>
      </c>
      <c r="G255">
        <v>28399</v>
      </c>
      <c r="H255" t="s">
        <v>40</v>
      </c>
      <c r="I255">
        <v>100</v>
      </c>
      <c r="J255" t="s">
        <v>40</v>
      </c>
      <c r="K255" t="str">
        <f>VLOOKUP(J255,CountryName!$B:$C,2,TRUE)</f>
        <v>Asia</v>
      </c>
      <c r="L255" t="s">
        <v>153</v>
      </c>
    </row>
    <row r="256" spans="1:12" x14ac:dyDescent="0.2">
      <c r="A256" s="1">
        <v>2021</v>
      </c>
      <c r="B256" t="str">
        <f>VLOOKUP(C256,References!$A$5:$B$8,2,TRUE)</f>
        <v>Mid level</v>
      </c>
      <c r="C256" t="s">
        <v>11</v>
      </c>
      <c r="D256" t="s">
        <v>147</v>
      </c>
      <c r="E256" t="str">
        <f>VLOOKUP(F256,References!$D$1:$F$50,3,TRUE)</f>
        <v>Data Analyst</v>
      </c>
      <c r="F256" t="s">
        <v>31</v>
      </c>
      <c r="G256">
        <v>93000</v>
      </c>
      <c r="H256" t="s">
        <v>29</v>
      </c>
      <c r="I256">
        <v>100</v>
      </c>
      <c r="J256" t="s">
        <v>29</v>
      </c>
      <c r="K256" t="str">
        <f>VLOOKUP(J256,CountryName!$B:$C,2,TRUE)</f>
        <v>North America</v>
      </c>
      <c r="L256" t="s">
        <v>151</v>
      </c>
    </row>
    <row r="257" spans="1:12" x14ac:dyDescent="0.2">
      <c r="A257" s="1">
        <v>2021</v>
      </c>
      <c r="B257" t="str">
        <f>VLOOKUP(C257,References!$A$5:$B$8,2,TRUE)</f>
        <v>Senior Level</v>
      </c>
      <c r="C257" t="s">
        <v>17</v>
      </c>
      <c r="D257" t="s">
        <v>147</v>
      </c>
      <c r="E257" t="str">
        <f>VLOOKUP(F257,References!$D$1:$F$50,3,TRUE)</f>
        <v>Data Engineer</v>
      </c>
      <c r="F257" t="s">
        <v>125</v>
      </c>
      <c r="G257">
        <v>99703</v>
      </c>
      <c r="H257" t="s">
        <v>62</v>
      </c>
      <c r="I257">
        <v>50</v>
      </c>
      <c r="J257" t="s">
        <v>62</v>
      </c>
      <c r="K257" t="str">
        <f>VLOOKUP(J257,CountryName!$B:$C,2,TRUE)</f>
        <v>North America</v>
      </c>
      <c r="L257" t="s">
        <v>153</v>
      </c>
    </row>
    <row r="258" spans="1:12" x14ac:dyDescent="0.2">
      <c r="A258" s="1">
        <v>2021</v>
      </c>
      <c r="B258" t="str">
        <f>VLOOKUP(C258,References!$A$5:$B$8,2,TRUE)</f>
        <v>Mid level</v>
      </c>
      <c r="C258" t="s">
        <v>11</v>
      </c>
      <c r="D258" t="s">
        <v>147</v>
      </c>
      <c r="E258" t="str">
        <f>VLOOKUP(F258,References!$D$1:$F$50,3,TRUE)</f>
        <v>Data Engineer</v>
      </c>
      <c r="F258" t="s">
        <v>43</v>
      </c>
      <c r="G258">
        <v>200000</v>
      </c>
      <c r="H258" t="s">
        <v>29</v>
      </c>
      <c r="I258">
        <v>100</v>
      </c>
      <c r="J258" t="s">
        <v>29</v>
      </c>
      <c r="K258" t="str">
        <f>VLOOKUP(J258,CountryName!$B:$C,2,TRUE)</f>
        <v>North America</v>
      </c>
      <c r="L258" t="s">
        <v>151</v>
      </c>
    </row>
    <row r="259" spans="1:12" x14ac:dyDescent="0.2">
      <c r="A259" s="1">
        <v>2021</v>
      </c>
      <c r="B259" t="str">
        <f>VLOOKUP(C259,References!$A$5:$B$8,2,TRUE)</f>
        <v>Senior Level</v>
      </c>
      <c r="C259" t="s">
        <v>17</v>
      </c>
      <c r="D259" t="s">
        <v>147</v>
      </c>
      <c r="E259" t="str">
        <f>VLOOKUP(F259,References!$D$1:$F$50,3,TRUE)</f>
        <v>Scientist</v>
      </c>
      <c r="F259" t="s">
        <v>76</v>
      </c>
      <c r="G259">
        <v>173762</v>
      </c>
      <c r="H259" t="s">
        <v>15</v>
      </c>
      <c r="I259">
        <v>100</v>
      </c>
      <c r="J259" t="s">
        <v>15</v>
      </c>
      <c r="K259" t="str">
        <f>VLOOKUP(J259,CountryName!$B:$C,2,TRUE)</f>
        <v>Europe</v>
      </c>
      <c r="L259" t="s">
        <v>153</v>
      </c>
    </row>
    <row r="260" spans="1:12" x14ac:dyDescent="0.2">
      <c r="A260" s="1">
        <v>2021</v>
      </c>
      <c r="B260" t="str">
        <f>VLOOKUP(C260,References!$A$5:$B$8,2,TRUE)</f>
        <v>Senior Level</v>
      </c>
      <c r="C260" t="s">
        <v>17</v>
      </c>
      <c r="D260" t="s">
        <v>147</v>
      </c>
      <c r="E260" t="str">
        <f>VLOOKUP(F260,References!$D$1:$F$50,3,TRUE)</f>
        <v>Machine Learning</v>
      </c>
      <c r="F260" t="s">
        <v>28</v>
      </c>
      <c r="G260">
        <v>185000</v>
      </c>
      <c r="H260" t="s">
        <v>29</v>
      </c>
      <c r="I260">
        <v>50</v>
      </c>
      <c r="J260" t="s">
        <v>29</v>
      </c>
      <c r="K260" t="str">
        <f>VLOOKUP(J260,CountryName!$B:$C,2,TRUE)</f>
        <v>North America</v>
      </c>
      <c r="L260" t="s">
        <v>151</v>
      </c>
    </row>
    <row r="261" spans="1:12" x14ac:dyDescent="0.2">
      <c r="A261" s="1">
        <v>2021</v>
      </c>
      <c r="B261" t="str">
        <f>VLOOKUP(C261,References!$A$5:$B$8,2,TRUE)</f>
        <v>Expert Level</v>
      </c>
      <c r="C261" t="s">
        <v>53</v>
      </c>
      <c r="D261" t="s">
        <v>147</v>
      </c>
      <c r="E261" t="str">
        <f>VLOOKUP(F261,References!$D$1:$F$50,3,TRUE)</f>
        <v>Manager</v>
      </c>
      <c r="F261" t="s">
        <v>54</v>
      </c>
      <c r="G261">
        <v>141846</v>
      </c>
      <c r="H261" t="s">
        <v>15</v>
      </c>
      <c r="I261">
        <v>0</v>
      </c>
      <c r="J261" t="s">
        <v>15</v>
      </c>
      <c r="K261" t="str">
        <f>VLOOKUP(J261,CountryName!$B:$C,2,TRUE)</f>
        <v>Europe</v>
      </c>
      <c r="L261" t="s">
        <v>151</v>
      </c>
    </row>
    <row r="262" spans="1:12" x14ac:dyDescent="0.2">
      <c r="A262" s="1">
        <v>2021</v>
      </c>
      <c r="B262" t="str">
        <f>VLOOKUP(C262,References!$A$5:$B$8,2,TRUE)</f>
        <v>Mid level</v>
      </c>
      <c r="C262" t="s">
        <v>11</v>
      </c>
      <c r="D262" t="s">
        <v>147</v>
      </c>
      <c r="E262" t="str">
        <f>VLOOKUP(F262,References!$D$1:$F$50,3,TRUE)</f>
        <v>Data Scientist</v>
      </c>
      <c r="F262" t="s">
        <v>13</v>
      </c>
      <c r="G262">
        <v>130000</v>
      </c>
      <c r="H262" t="s">
        <v>29</v>
      </c>
      <c r="I262">
        <v>50</v>
      </c>
      <c r="J262" t="s">
        <v>29</v>
      </c>
      <c r="K262" t="str">
        <f>VLOOKUP(J262,CountryName!$B:$C,2,TRUE)</f>
        <v>North America</v>
      </c>
      <c r="L262" t="s">
        <v>151</v>
      </c>
    </row>
    <row r="263" spans="1:12" x14ac:dyDescent="0.2">
      <c r="A263" s="1">
        <v>2021</v>
      </c>
      <c r="B263" t="str">
        <f>VLOOKUP(C263,References!$A$5:$B$8,2,TRUE)</f>
        <v>Senior Level</v>
      </c>
      <c r="C263" t="s">
        <v>17</v>
      </c>
      <c r="D263" t="s">
        <v>147</v>
      </c>
      <c r="E263" t="str">
        <f>VLOOKUP(F263,References!$D$1:$F$50,3,TRUE)</f>
        <v>Data Analyst</v>
      </c>
      <c r="F263" t="s">
        <v>31</v>
      </c>
      <c r="G263">
        <v>63831</v>
      </c>
      <c r="H263" t="s">
        <v>15</v>
      </c>
      <c r="I263">
        <v>50</v>
      </c>
      <c r="J263" t="s">
        <v>15</v>
      </c>
      <c r="K263" t="str">
        <f>VLOOKUP(J263,CountryName!$B:$C,2,TRUE)</f>
        <v>Europe</v>
      </c>
      <c r="L263" t="s">
        <v>151</v>
      </c>
    </row>
    <row r="264" spans="1:12" x14ac:dyDescent="0.2">
      <c r="A264" s="1">
        <v>2021</v>
      </c>
      <c r="B264" t="str">
        <f>VLOOKUP(C264,References!$A$5:$B$8,2,TRUE)</f>
        <v>Mid level</v>
      </c>
      <c r="C264" t="s">
        <v>11</v>
      </c>
      <c r="D264" t="s">
        <v>147</v>
      </c>
      <c r="E264" t="str">
        <f>VLOOKUP(F264,References!$D$1:$F$50,3,TRUE)</f>
        <v>Data Scientist</v>
      </c>
      <c r="F264" t="s">
        <v>13</v>
      </c>
      <c r="G264">
        <v>16904</v>
      </c>
      <c r="H264" t="s">
        <v>40</v>
      </c>
      <c r="I264">
        <v>100</v>
      </c>
      <c r="J264" t="s">
        <v>40</v>
      </c>
      <c r="K264" t="str">
        <f>VLOOKUP(J264,CountryName!$B:$C,2,TRUE)</f>
        <v>Asia</v>
      </c>
      <c r="L264" t="s">
        <v>152</v>
      </c>
    </row>
    <row r="265" spans="1:12" x14ac:dyDescent="0.2">
      <c r="A265" s="1">
        <v>2021</v>
      </c>
      <c r="B265" t="str">
        <f>VLOOKUP(C265,References!$A$5:$B$8,2,TRUE)</f>
        <v>Senior Level</v>
      </c>
      <c r="C265" t="s">
        <v>17</v>
      </c>
      <c r="D265" t="s">
        <v>147</v>
      </c>
      <c r="E265" t="str">
        <f>VLOOKUP(F265,References!$D$1:$F$50,3,TRUE)</f>
        <v>Machine Learning</v>
      </c>
      <c r="F265" t="s">
        <v>28</v>
      </c>
      <c r="G265">
        <v>66265</v>
      </c>
      <c r="H265" t="s">
        <v>40</v>
      </c>
      <c r="I265">
        <v>0</v>
      </c>
      <c r="J265" t="s">
        <v>40</v>
      </c>
      <c r="K265" t="str">
        <f>VLOOKUP(J265,CountryName!$B:$C,2,TRUE)</f>
        <v>Asia</v>
      </c>
      <c r="L265" t="s">
        <v>151</v>
      </c>
    </row>
    <row r="266" spans="1:12" x14ac:dyDescent="0.2">
      <c r="A266" s="1">
        <v>2021</v>
      </c>
      <c r="B266" t="str">
        <f>VLOOKUP(C266,References!$A$5:$B$8,2,TRUE)</f>
        <v>Mid level</v>
      </c>
      <c r="C266" t="s">
        <v>11</v>
      </c>
      <c r="D266" t="s">
        <v>147</v>
      </c>
      <c r="E266" t="str">
        <f>VLOOKUP(F266,References!$D$1:$F$50,3,TRUE)</f>
        <v>Data Scientist</v>
      </c>
      <c r="F266" t="s">
        <v>13</v>
      </c>
      <c r="G266">
        <v>25532</v>
      </c>
      <c r="H266" t="s">
        <v>126</v>
      </c>
      <c r="I266">
        <v>100</v>
      </c>
      <c r="J266" t="s">
        <v>15</v>
      </c>
      <c r="K266" t="str">
        <f>VLOOKUP(J266,CountryName!$B:$C,2,TRUE)</f>
        <v>Europe</v>
      </c>
      <c r="L266" t="s">
        <v>152</v>
      </c>
    </row>
    <row r="267" spans="1:12" x14ac:dyDescent="0.2">
      <c r="A267" s="1">
        <v>2021</v>
      </c>
      <c r="B267" t="str">
        <f>VLOOKUP(C267,References!$A$5:$B$8,2,TRUE)</f>
        <v>Senior Level</v>
      </c>
      <c r="C267" t="s">
        <v>17</v>
      </c>
      <c r="D267" t="s">
        <v>147</v>
      </c>
      <c r="E267" t="str">
        <f>VLOOKUP(F267,References!$D$1:$F$50,3,TRUE)</f>
        <v>Manager</v>
      </c>
      <c r="F267" t="s">
        <v>36</v>
      </c>
      <c r="G267">
        <v>160000</v>
      </c>
      <c r="H267" t="s">
        <v>127</v>
      </c>
      <c r="I267">
        <v>50</v>
      </c>
      <c r="J267" t="s">
        <v>29</v>
      </c>
      <c r="K267" t="str">
        <f>VLOOKUP(J267,CountryName!$B:$C,2,TRUE)</f>
        <v>North America</v>
      </c>
      <c r="L267" t="s">
        <v>152</v>
      </c>
    </row>
    <row r="268" spans="1:12" x14ac:dyDescent="0.2">
      <c r="A268" s="1">
        <v>2021</v>
      </c>
      <c r="B268" t="str">
        <f>VLOOKUP(C268,References!$A$5:$B$8,2,TRUE)</f>
        <v>Mid level</v>
      </c>
      <c r="C268" t="s">
        <v>11</v>
      </c>
      <c r="D268" t="s">
        <v>147</v>
      </c>
      <c r="E268" t="str">
        <f>VLOOKUP(F268,References!$D$1:$F$50,3,TRUE)</f>
        <v>Data Engineer</v>
      </c>
      <c r="F268" t="s">
        <v>43</v>
      </c>
      <c r="G268">
        <v>93150</v>
      </c>
      <c r="H268" t="s">
        <v>29</v>
      </c>
      <c r="I268">
        <v>0</v>
      </c>
      <c r="J268" t="s">
        <v>29</v>
      </c>
      <c r="K268" t="str">
        <f>VLOOKUP(J268,CountryName!$B:$C,2,TRUE)</f>
        <v>North America</v>
      </c>
      <c r="L268" t="s">
        <v>153</v>
      </c>
    </row>
    <row r="269" spans="1:12" x14ac:dyDescent="0.2">
      <c r="A269" s="1">
        <v>2021</v>
      </c>
      <c r="B269" t="str">
        <f>VLOOKUP(C269,References!$A$5:$B$8,2,TRUE)</f>
        <v>Mid level</v>
      </c>
      <c r="C269" t="s">
        <v>11</v>
      </c>
      <c r="D269" t="s">
        <v>147</v>
      </c>
      <c r="E269" t="str">
        <f>VLOOKUP(F269,References!$D$1:$F$50,3,TRUE)</f>
        <v>Data Engineer</v>
      </c>
      <c r="F269" t="s">
        <v>43</v>
      </c>
      <c r="G269">
        <v>111775</v>
      </c>
      <c r="H269" t="s">
        <v>29</v>
      </c>
      <c r="I269">
        <v>0</v>
      </c>
      <c r="J269" t="s">
        <v>29</v>
      </c>
      <c r="K269" t="str">
        <f>VLOOKUP(J269,CountryName!$B:$C,2,TRUE)</f>
        <v>North America</v>
      </c>
      <c r="L269" t="s">
        <v>153</v>
      </c>
    </row>
    <row r="270" spans="1:12" x14ac:dyDescent="0.2">
      <c r="A270" s="1">
        <v>2021</v>
      </c>
      <c r="B270" t="str">
        <f>VLOOKUP(C270,References!$A$5:$B$8,2,TRUE)</f>
        <v>Mid level</v>
      </c>
      <c r="C270" t="s">
        <v>11</v>
      </c>
      <c r="D270" t="s">
        <v>147</v>
      </c>
      <c r="E270" t="str">
        <f>VLOOKUP(F270,References!$D$1:$F$50,3,TRUE)</f>
        <v>Data Engineer</v>
      </c>
      <c r="F270" t="s">
        <v>43</v>
      </c>
      <c r="G270">
        <v>28016</v>
      </c>
      <c r="H270" t="s">
        <v>123</v>
      </c>
      <c r="I270">
        <v>100</v>
      </c>
      <c r="J270" t="s">
        <v>123</v>
      </c>
      <c r="K270" t="str">
        <f>VLOOKUP(J270,CountryName!$B:$C,2,TRUE)</f>
        <v>Europe</v>
      </c>
      <c r="L270" t="s">
        <v>153</v>
      </c>
    </row>
    <row r="271" spans="1:12" x14ac:dyDescent="0.2">
      <c r="A271" s="1">
        <v>2021</v>
      </c>
      <c r="B271" t="str">
        <f>VLOOKUP(C271,References!$A$5:$B$8,2,TRUE)</f>
        <v>Entry Level</v>
      </c>
      <c r="C271" t="s">
        <v>30</v>
      </c>
      <c r="D271" t="s">
        <v>147</v>
      </c>
      <c r="E271" t="str">
        <f>VLOOKUP(F271,References!$D$1:$F$50,3,TRUE)</f>
        <v>Data Engineer</v>
      </c>
      <c r="F271" t="s">
        <v>43</v>
      </c>
      <c r="G271">
        <v>65013</v>
      </c>
      <c r="H271" t="s">
        <v>15</v>
      </c>
      <c r="I271">
        <v>50</v>
      </c>
      <c r="J271" t="s">
        <v>15</v>
      </c>
      <c r="K271" t="str">
        <f>VLOOKUP(J271,CountryName!$B:$C,2,TRUE)</f>
        <v>Europe</v>
      </c>
      <c r="L271" t="s">
        <v>153</v>
      </c>
    </row>
    <row r="272" spans="1:12" x14ac:dyDescent="0.2">
      <c r="A272" s="1">
        <v>2021</v>
      </c>
      <c r="B272" t="str">
        <f>VLOOKUP(C272,References!$A$5:$B$8,2,TRUE)</f>
        <v>Entry Level</v>
      </c>
      <c r="C272" t="s">
        <v>30</v>
      </c>
      <c r="D272" t="s">
        <v>147</v>
      </c>
      <c r="E272" t="str">
        <f>VLOOKUP(F272,References!$D$1:$F$50,3,TRUE)</f>
        <v>Data Engineer</v>
      </c>
      <c r="F272" t="s">
        <v>43</v>
      </c>
      <c r="G272">
        <v>72500</v>
      </c>
      <c r="H272" t="s">
        <v>29</v>
      </c>
      <c r="I272">
        <v>100</v>
      </c>
      <c r="J272" t="s">
        <v>29</v>
      </c>
      <c r="K272" t="str">
        <f>VLOOKUP(J272,CountryName!$B:$C,2,TRUE)</f>
        <v>North America</v>
      </c>
      <c r="L272" t="s">
        <v>151</v>
      </c>
    </row>
    <row r="273" spans="1:12" x14ac:dyDescent="0.2">
      <c r="A273" s="1">
        <v>2021</v>
      </c>
      <c r="B273" t="str">
        <f>VLOOKUP(C273,References!$A$5:$B$8,2,TRUE)</f>
        <v>Senior Level</v>
      </c>
      <c r="C273" t="s">
        <v>17</v>
      </c>
      <c r="D273" t="s">
        <v>147</v>
      </c>
      <c r="E273" t="str">
        <f>VLOOKUP(F273,References!$D$1:$F$50,3,TRUE)</f>
        <v>Data Engineer</v>
      </c>
      <c r="F273" t="s">
        <v>74</v>
      </c>
      <c r="G273">
        <v>18907</v>
      </c>
      <c r="H273" t="s">
        <v>91</v>
      </c>
      <c r="I273">
        <v>0</v>
      </c>
      <c r="J273" t="s">
        <v>91</v>
      </c>
      <c r="K273" t="str">
        <f>VLOOKUP(J273,CountryName!$B:$C,2,TRUE)</f>
        <v>South America</v>
      </c>
      <c r="L273" t="s">
        <v>153</v>
      </c>
    </row>
    <row r="274" spans="1:12" x14ac:dyDescent="0.2">
      <c r="A274" s="1">
        <v>2021</v>
      </c>
      <c r="B274" t="str">
        <f>VLOOKUP(C274,References!$A$5:$B$8,2,TRUE)</f>
        <v>Entry Level</v>
      </c>
      <c r="C274" t="s">
        <v>30</v>
      </c>
      <c r="D274" t="s">
        <v>147</v>
      </c>
      <c r="E274" t="str">
        <f>VLOOKUP(F274,References!$D$1:$F$50,3,TRUE)</f>
        <v>Data Analyst</v>
      </c>
      <c r="F274" t="s">
        <v>46</v>
      </c>
      <c r="G274">
        <v>76833</v>
      </c>
      <c r="H274" t="s">
        <v>15</v>
      </c>
      <c r="I274">
        <v>0</v>
      </c>
      <c r="J274" t="s">
        <v>15</v>
      </c>
      <c r="K274" t="str">
        <f>VLOOKUP(J274,CountryName!$B:$C,2,TRUE)</f>
        <v>Europe</v>
      </c>
      <c r="L274" t="s">
        <v>151</v>
      </c>
    </row>
    <row r="275" spans="1:12" x14ac:dyDescent="0.2">
      <c r="A275" s="1">
        <v>2021</v>
      </c>
      <c r="B275" t="str">
        <f>VLOOKUP(C275,References!$A$5:$B$8,2,TRUE)</f>
        <v>Entry Level</v>
      </c>
      <c r="C275" t="s">
        <v>30</v>
      </c>
      <c r="D275" t="s">
        <v>147</v>
      </c>
      <c r="E275" t="str">
        <f>VLOOKUP(F275,References!$D$1:$F$50,3,TRUE)</f>
        <v>Machine Learning</v>
      </c>
      <c r="F275" t="s">
        <v>28</v>
      </c>
      <c r="G275">
        <v>85000</v>
      </c>
      <c r="H275" t="s">
        <v>56</v>
      </c>
      <c r="I275">
        <v>100</v>
      </c>
      <c r="J275" t="s">
        <v>15</v>
      </c>
      <c r="K275" t="str">
        <f>VLOOKUP(J275,CountryName!$B:$C,2,TRUE)</f>
        <v>Europe</v>
      </c>
      <c r="L275" t="s">
        <v>152</v>
      </c>
    </row>
    <row r="276" spans="1:12" x14ac:dyDescent="0.2">
      <c r="A276" s="1">
        <v>2021</v>
      </c>
      <c r="B276" t="str">
        <f>VLOOKUP(C276,References!$A$5:$B$8,2,TRUE)</f>
        <v>Senior Level</v>
      </c>
      <c r="C276" t="s">
        <v>17</v>
      </c>
      <c r="D276" t="s">
        <v>147</v>
      </c>
      <c r="E276" t="str">
        <f>VLOOKUP(F276,References!$D$1:$F$50,3,TRUE)</f>
        <v>Data Scientist</v>
      </c>
      <c r="F276" t="s">
        <v>13</v>
      </c>
      <c r="G276">
        <v>77684</v>
      </c>
      <c r="H276" t="s">
        <v>38</v>
      </c>
      <c r="I276">
        <v>50</v>
      </c>
      <c r="J276" t="s">
        <v>38</v>
      </c>
      <c r="K276" t="str">
        <f>VLOOKUP(J276,CountryName!$B:$C,2,TRUE)</f>
        <v>Europe</v>
      </c>
      <c r="L276" t="s">
        <v>153</v>
      </c>
    </row>
    <row r="277" spans="1:12" x14ac:dyDescent="0.2">
      <c r="A277" s="1">
        <v>2021</v>
      </c>
      <c r="B277" t="str">
        <f>VLOOKUP(C277,References!$A$5:$B$8,2,TRUE)</f>
        <v>Entry Level</v>
      </c>
      <c r="C277" t="s">
        <v>30</v>
      </c>
      <c r="D277" t="s">
        <v>147</v>
      </c>
      <c r="E277" t="str">
        <f>VLOOKUP(F277,References!$D$1:$F$50,3,TRUE)</f>
        <v>Data Scientist</v>
      </c>
      <c r="F277" t="s">
        <v>13</v>
      </c>
      <c r="G277">
        <v>100000</v>
      </c>
      <c r="H277" t="s">
        <v>29</v>
      </c>
      <c r="I277">
        <v>100</v>
      </c>
      <c r="J277" t="s">
        <v>29</v>
      </c>
      <c r="K277" t="str">
        <f>VLOOKUP(J277,CountryName!$B:$C,2,TRUE)</f>
        <v>North America</v>
      </c>
      <c r="L277" t="s">
        <v>153</v>
      </c>
    </row>
    <row r="278" spans="1:12" x14ac:dyDescent="0.2">
      <c r="A278" s="1">
        <v>2021</v>
      </c>
      <c r="B278" t="str">
        <f>VLOOKUP(C278,References!$A$5:$B$8,2,TRUE)</f>
        <v>Entry Level</v>
      </c>
      <c r="C278" t="s">
        <v>30</v>
      </c>
      <c r="D278" t="s">
        <v>147</v>
      </c>
      <c r="E278" t="str">
        <f>VLOOKUP(F278,References!$D$1:$F$50,3,TRUE)</f>
        <v>Data Scientist</v>
      </c>
      <c r="F278" t="s">
        <v>13</v>
      </c>
      <c r="G278">
        <v>58000</v>
      </c>
      <c r="H278" t="s">
        <v>29</v>
      </c>
      <c r="I278">
        <v>50</v>
      </c>
      <c r="J278" t="s">
        <v>29</v>
      </c>
      <c r="K278" t="str">
        <f>VLOOKUP(J278,CountryName!$B:$C,2,TRUE)</f>
        <v>North America</v>
      </c>
      <c r="L278" t="s">
        <v>151</v>
      </c>
    </row>
    <row r="279" spans="1:12" x14ac:dyDescent="0.2">
      <c r="A279" s="1">
        <v>2021</v>
      </c>
      <c r="B279" t="str">
        <f>VLOOKUP(C279,References!$A$5:$B$8,2,TRUE)</f>
        <v>Senior Level</v>
      </c>
      <c r="C279" t="s">
        <v>17</v>
      </c>
      <c r="D279" t="s">
        <v>147</v>
      </c>
      <c r="E279" t="str">
        <f>VLOOKUP(F279,References!$D$1:$F$50,3,TRUE)</f>
        <v>Data Scientist</v>
      </c>
      <c r="F279" t="s">
        <v>70</v>
      </c>
      <c r="G279">
        <v>55000</v>
      </c>
      <c r="H279" t="s">
        <v>67</v>
      </c>
      <c r="I279">
        <v>100</v>
      </c>
      <c r="J279" t="s">
        <v>67</v>
      </c>
      <c r="K279" t="str">
        <f>VLOOKUP(J279,CountryName!$B:$C,2,TRUE)</f>
        <v>Europe</v>
      </c>
      <c r="L279" t="s">
        <v>151</v>
      </c>
    </row>
    <row r="280" spans="1:12" x14ac:dyDescent="0.2">
      <c r="A280" s="1">
        <v>2021</v>
      </c>
      <c r="B280" t="str">
        <f>VLOOKUP(C280,References!$A$5:$B$8,2,TRUE)</f>
        <v>Senior Level</v>
      </c>
      <c r="C280" t="s">
        <v>17</v>
      </c>
      <c r="D280" t="s">
        <v>147</v>
      </c>
      <c r="E280" t="str">
        <f>VLOOKUP(F280,References!$D$1:$F$50,3,TRUE)</f>
        <v>Data Scientist</v>
      </c>
      <c r="F280" t="s">
        <v>13</v>
      </c>
      <c r="G280">
        <v>20171</v>
      </c>
      <c r="H280" t="s">
        <v>123</v>
      </c>
      <c r="I280">
        <v>50</v>
      </c>
      <c r="J280" t="s">
        <v>123</v>
      </c>
      <c r="K280" t="str">
        <f>VLOOKUP(J280,CountryName!$B:$C,2,TRUE)</f>
        <v>Europe</v>
      </c>
      <c r="L280" t="s">
        <v>151</v>
      </c>
    </row>
    <row r="281" spans="1:12" x14ac:dyDescent="0.2">
      <c r="A281" s="1">
        <v>2021</v>
      </c>
      <c r="B281" t="str">
        <f>VLOOKUP(C281,References!$A$5:$B$8,2,TRUE)</f>
        <v>Entry Level</v>
      </c>
      <c r="C281" t="s">
        <v>30</v>
      </c>
      <c r="D281" t="s">
        <v>147</v>
      </c>
      <c r="E281" t="str">
        <f>VLOOKUP(F281,References!$D$1:$F$50,3,TRUE)</f>
        <v>Data Analyst</v>
      </c>
      <c r="F281" t="s">
        <v>35</v>
      </c>
      <c r="G281">
        <v>59102</v>
      </c>
      <c r="H281" t="s">
        <v>80</v>
      </c>
      <c r="I281">
        <v>100</v>
      </c>
      <c r="J281" t="s">
        <v>80</v>
      </c>
      <c r="K281" t="str">
        <f>VLOOKUP(J281,CountryName!$B:$C,2,TRUE)</f>
        <v>Europe</v>
      </c>
      <c r="L281" t="s">
        <v>151</v>
      </c>
    </row>
    <row r="282" spans="1:12" x14ac:dyDescent="0.2">
      <c r="A282" s="1">
        <v>2021</v>
      </c>
      <c r="B282" t="str">
        <f>VLOOKUP(C282,References!$A$5:$B$8,2,TRUE)</f>
        <v>Mid level</v>
      </c>
      <c r="C282" t="s">
        <v>11</v>
      </c>
      <c r="D282" t="s">
        <v>147</v>
      </c>
      <c r="E282" t="str">
        <f>VLOOKUP(F282,References!$D$1:$F$50,3,TRUE)</f>
        <v>Data Engineer</v>
      </c>
      <c r="F282" t="s">
        <v>43</v>
      </c>
      <c r="G282">
        <v>112000</v>
      </c>
      <c r="H282" t="s">
        <v>29</v>
      </c>
      <c r="I282">
        <v>100</v>
      </c>
      <c r="J282" t="s">
        <v>29</v>
      </c>
      <c r="K282" t="str">
        <f>VLOOKUP(J282,CountryName!$B:$C,2,TRUE)</f>
        <v>North America</v>
      </c>
      <c r="L282" t="s">
        <v>151</v>
      </c>
    </row>
    <row r="283" spans="1:12" x14ac:dyDescent="0.2">
      <c r="A283" s="1">
        <v>2021</v>
      </c>
      <c r="B283" t="str">
        <f>VLOOKUP(C283,References!$A$5:$B$8,2,TRUE)</f>
        <v>Entry Level</v>
      </c>
      <c r="C283" t="s">
        <v>30</v>
      </c>
      <c r="D283" t="s">
        <v>147</v>
      </c>
      <c r="E283" t="str">
        <f>VLOOKUP(F283,References!$D$1:$F$50,3,TRUE)</f>
        <v>Scientist</v>
      </c>
      <c r="F283" t="s">
        <v>55</v>
      </c>
      <c r="G283">
        <v>100000</v>
      </c>
      <c r="H283" t="s">
        <v>128</v>
      </c>
      <c r="I283">
        <v>0</v>
      </c>
      <c r="J283" t="s">
        <v>49</v>
      </c>
      <c r="K283" t="str">
        <f>VLOOKUP(J283,CountryName!$B:$C,2,TRUE)</f>
        <v>Asia</v>
      </c>
      <c r="L283" t="s">
        <v>151</v>
      </c>
    </row>
    <row r="284" spans="1:12" x14ac:dyDescent="0.2">
      <c r="A284" s="1">
        <v>2021</v>
      </c>
      <c r="B284" t="str">
        <f>VLOOKUP(C284,References!$A$5:$B$8,2,TRUE)</f>
        <v>Mid level</v>
      </c>
      <c r="C284" t="s">
        <v>11</v>
      </c>
      <c r="D284" t="s">
        <v>150</v>
      </c>
      <c r="E284" t="str">
        <f>VLOOKUP(F284,References!$D$1:$F$50,3,TRUE)</f>
        <v>Data Engineer</v>
      </c>
      <c r="F284" t="s">
        <v>43</v>
      </c>
      <c r="G284">
        <v>69741</v>
      </c>
      <c r="H284" t="s">
        <v>56</v>
      </c>
      <c r="I284">
        <v>100</v>
      </c>
      <c r="J284" t="s">
        <v>56</v>
      </c>
      <c r="K284" t="str">
        <f>VLOOKUP(J284,CountryName!$B:$C,2,TRUE)</f>
        <v>Europe</v>
      </c>
      <c r="L284" t="s">
        <v>151</v>
      </c>
    </row>
    <row r="285" spans="1:12" x14ac:dyDescent="0.2">
      <c r="A285" s="1">
        <v>2021</v>
      </c>
      <c r="B285" t="str">
        <f>VLOOKUP(C285,References!$A$5:$B$8,2,TRUE)</f>
        <v>Senior Level</v>
      </c>
      <c r="C285" t="s">
        <v>17</v>
      </c>
      <c r="D285" t="s">
        <v>148</v>
      </c>
      <c r="E285" t="str">
        <f>VLOOKUP(F285,References!$D$1:$F$50,3,TRUE)</f>
        <v>Scientist</v>
      </c>
      <c r="F285" t="s">
        <v>129</v>
      </c>
      <c r="G285">
        <v>105000</v>
      </c>
      <c r="H285" t="s">
        <v>29</v>
      </c>
      <c r="I285">
        <v>100</v>
      </c>
      <c r="J285" t="s">
        <v>29</v>
      </c>
      <c r="K285" t="str">
        <f>VLOOKUP(J285,CountryName!$B:$C,2,TRUE)</f>
        <v>North America</v>
      </c>
      <c r="L285" t="s">
        <v>153</v>
      </c>
    </row>
    <row r="286" spans="1:12" x14ac:dyDescent="0.2">
      <c r="A286" s="1">
        <v>2021</v>
      </c>
      <c r="B286" t="str">
        <f>VLOOKUP(C286,References!$A$5:$B$8,2,TRUE)</f>
        <v>Mid level</v>
      </c>
      <c r="C286" t="s">
        <v>11</v>
      </c>
      <c r="D286" t="s">
        <v>147</v>
      </c>
      <c r="E286" t="str">
        <f>VLOOKUP(F286,References!$D$1:$F$50,3,TRUE)</f>
        <v>Scientist</v>
      </c>
      <c r="F286" t="s">
        <v>55</v>
      </c>
      <c r="G286">
        <v>69999</v>
      </c>
      <c r="H286" t="s">
        <v>130</v>
      </c>
      <c r="I286">
        <v>50</v>
      </c>
      <c r="J286" t="s">
        <v>130</v>
      </c>
      <c r="K286" t="str">
        <f>VLOOKUP(J286,CountryName!$B:$C,2,TRUE)</f>
        <v>Europe</v>
      </c>
      <c r="L286" t="s">
        <v>151</v>
      </c>
    </row>
    <row r="287" spans="1:12" x14ac:dyDescent="0.2">
      <c r="A287" s="1">
        <v>2021</v>
      </c>
      <c r="B287" t="str">
        <f>VLOOKUP(C287,References!$A$5:$B$8,2,TRUE)</f>
        <v>Senior Level</v>
      </c>
      <c r="C287" t="s">
        <v>17</v>
      </c>
      <c r="D287" t="s">
        <v>147</v>
      </c>
      <c r="E287" t="str">
        <f>VLOOKUP(F287,References!$D$1:$F$50,3,TRUE)</f>
        <v>Manager</v>
      </c>
      <c r="F287" t="s">
        <v>79</v>
      </c>
      <c r="G287">
        <v>94665</v>
      </c>
      <c r="H287" t="s">
        <v>40</v>
      </c>
      <c r="I287">
        <v>50</v>
      </c>
      <c r="J287" t="s">
        <v>40</v>
      </c>
      <c r="K287" t="str">
        <f>VLOOKUP(J287,CountryName!$B:$C,2,TRUE)</f>
        <v>Asia</v>
      </c>
      <c r="L287" t="s">
        <v>151</v>
      </c>
    </row>
    <row r="288" spans="1:12" x14ac:dyDescent="0.2">
      <c r="A288" s="1">
        <v>2021</v>
      </c>
      <c r="B288" t="str">
        <f>VLOOKUP(C288,References!$A$5:$B$8,2,TRUE)</f>
        <v>Senior Level</v>
      </c>
      <c r="C288" t="s">
        <v>17</v>
      </c>
      <c r="D288" t="s">
        <v>147</v>
      </c>
      <c r="E288" t="str">
        <f>VLOOKUP(F288,References!$D$1:$F$50,3,TRUE)</f>
        <v>Manager</v>
      </c>
      <c r="F288" t="s">
        <v>81</v>
      </c>
      <c r="G288">
        <v>102839</v>
      </c>
      <c r="H288" t="s">
        <v>118</v>
      </c>
      <c r="I288">
        <v>100</v>
      </c>
      <c r="J288" t="s">
        <v>118</v>
      </c>
      <c r="K288" t="str">
        <f>VLOOKUP(J288,CountryName!$B:$C,2,TRUE)</f>
        <v>Europe</v>
      </c>
      <c r="L288" t="s">
        <v>151</v>
      </c>
    </row>
    <row r="289" spans="1:12" x14ac:dyDescent="0.2">
      <c r="A289" s="1">
        <v>2021</v>
      </c>
      <c r="B289" t="str">
        <f>VLOOKUP(C289,References!$A$5:$B$8,2,TRUE)</f>
        <v>Mid level</v>
      </c>
      <c r="C289" t="s">
        <v>11</v>
      </c>
      <c r="D289" t="s">
        <v>147</v>
      </c>
      <c r="E289" t="str">
        <f>VLOOKUP(F289,References!$D$1:$F$50,3,TRUE)</f>
        <v>Data Scientist</v>
      </c>
      <c r="F289" t="s">
        <v>13</v>
      </c>
      <c r="G289">
        <v>109000</v>
      </c>
      <c r="H289" t="s">
        <v>29</v>
      </c>
      <c r="I289">
        <v>50</v>
      </c>
      <c r="J289" t="s">
        <v>29</v>
      </c>
      <c r="K289" t="str">
        <f>VLOOKUP(J289,CountryName!$B:$C,2,TRUE)</f>
        <v>North America</v>
      </c>
      <c r="L289" t="s">
        <v>151</v>
      </c>
    </row>
    <row r="290" spans="1:12" x14ac:dyDescent="0.2">
      <c r="A290" s="1">
        <v>2021</v>
      </c>
      <c r="B290" t="str">
        <f>VLOOKUP(C290,References!$A$5:$B$8,2,TRUE)</f>
        <v>Mid level</v>
      </c>
      <c r="C290" t="s">
        <v>11</v>
      </c>
      <c r="D290" t="s">
        <v>147</v>
      </c>
      <c r="E290" t="str">
        <f>VLOOKUP(F290,References!$D$1:$F$50,3,TRUE)</f>
        <v>Machine Learning</v>
      </c>
      <c r="F290" t="s">
        <v>28</v>
      </c>
      <c r="G290">
        <v>51064</v>
      </c>
      <c r="H290" t="s">
        <v>77</v>
      </c>
      <c r="I290">
        <v>50</v>
      </c>
      <c r="J290" t="s">
        <v>77</v>
      </c>
      <c r="K290" t="str">
        <f>VLOOKUP(J290,CountryName!$B:$C,2,TRUE)</f>
        <v>Europe</v>
      </c>
      <c r="L290" t="s">
        <v>151</v>
      </c>
    </row>
    <row r="291" spans="1:12" x14ac:dyDescent="0.2">
      <c r="A291" s="1">
        <v>2022</v>
      </c>
      <c r="B291" t="str">
        <f>VLOOKUP(C291,References!$A$5:$B$8,2,TRUE)</f>
        <v>Senior Level</v>
      </c>
      <c r="C291" t="s">
        <v>17</v>
      </c>
      <c r="D291" t="s">
        <v>147</v>
      </c>
      <c r="E291" t="str">
        <f>VLOOKUP(F291,References!$D$1:$F$50,3,TRUE)</f>
        <v>Data Engineer</v>
      </c>
      <c r="F291" t="s">
        <v>43</v>
      </c>
      <c r="G291">
        <v>135000</v>
      </c>
      <c r="H291" t="s">
        <v>29</v>
      </c>
      <c r="I291">
        <v>100</v>
      </c>
      <c r="J291" t="s">
        <v>29</v>
      </c>
      <c r="K291" t="str">
        <f>VLOOKUP(J291,CountryName!$B:$C,2,TRUE)</f>
        <v>North America</v>
      </c>
      <c r="L291" t="s">
        <v>153</v>
      </c>
    </row>
    <row r="292" spans="1:12" x14ac:dyDescent="0.2">
      <c r="A292" s="1">
        <v>2022</v>
      </c>
      <c r="B292" t="str">
        <f>VLOOKUP(C292,References!$A$5:$B$8,2,TRUE)</f>
        <v>Senior Level</v>
      </c>
      <c r="C292" t="s">
        <v>17</v>
      </c>
      <c r="D292" t="s">
        <v>147</v>
      </c>
      <c r="E292" t="str">
        <f>VLOOKUP(F292,References!$D$1:$F$50,3,TRUE)</f>
        <v>Data Analyst</v>
      </c>
      <c r="F292" t="s">
        <v>31</v>
      </c>
      <c r="G292">
        <v>155000</v>
      </c>
      <c r="H292" t="s">
        <v>29</v>
      </c>
      <c r="I292">
        <v>100</v>
      </c>
      <c r="J292" t="s">
        <v>29</v>
      </c>
      <c r="K292" t="str">
        <f>VLOOKUP(J292,CountryName!$B:$C,2,TRUE)</f>
        <v>North America</v>
      </c>
      <c r="L292" t="s">
        <v>153</v>
      </c>
    </row>
    <row r="293" spans="1:12" x14ac:dyDescent="0.2">
      <c r="A293" s="1">
        <v>2022</v>
      </c>
      <c r="B293" t="str">
        <f>VLOOKUP(C293,References!$A$5:$B$8,2,TRUE)</f>
        <v>Senior Level</v>
      </c>
      <c r="C293" t="s">
        <v>17</v>
      </c>
      <c r="D293" t="s">
        <v>147</v>
      </c>
      <c r="E293" t="str">
        <f>VLOOKUP(F293,References!$D$1:$F$50,3,TRUE)</f>
        <v>Data Analyst</v>
      </c>
      <c r="F293" t="s">
        <v>31</v>
      </c>
      <c r="G293">
        <v>120600</v>
      </c>
      <c r="H293" t="s">
        <v>29</v>
      </c>
      <c r="I293">
        <v>100</v>
      </c>
      <c r="J293" t="s">
        <v>29</v>
      </c>
      <c r="K293" t="str">
        <f>VLOOKUP(J293,CountryName!$B:$C,2,TRUE)</f>
        <v>North America</v>
      </c>
      <c r="L293" t="s">
        <v>153</v>
      </c>
    </row>
    <row r="294" spans="1:12" x14ac:dyDescent="0.2">
      <c r="A294" s="1">
        <v>2022</v>
      </c>
      <c r="B294" t="str">
        <f>VLOOKUP(C294,References!$A$5:$B$8,2,TRUE)</f>
        <v>Mid level</v>
      </c>
      <c r="C294" t="s">
        <v>11</v>
      </c>
      <c r="D294" t="s">
        <v>147</v>
      </c>
      <c r="E294" t="str">
        <f>VLOOKUP(F294,References!$D$1:$F$50,3,TRUE)</f>
        <v>Data Scientist</v>
      </c>
      <c r="F294" t="s">
        <v>13</v>
      </c>
      <c r="G294">
        <v>130000</v>
      </c>
      <c r="H294" t="s">
        <v>29</v>
      </c>
      <c r="I294">
        <v>0</v>
      </c>
      <c r="J294" t="s">
        <v>29</v>
      </c>
      <c r="K294" t="str">
        <f>VLOOKUP(J294,CountryName!$B:$C,2,TRUE)</f>
        <v>North America</v>
      </c>
      <c r="L294" t="s">
        <v>153</v>
      </c>
    </row>
    <row r="295" spans="1:12" x14ac:dyDescent="0.2">
      <c r="A295" s="1">
        <v>2022</v>
      </c>
      <c r="B295" t="str">
        <f>VLOOKUP(C295,References!$A$5:$B$8,2,TRUE)</f>
        <v>Mid level</v>
      </c>
      <c r="C295" t="s">
        <v>11</v>
      </c>
      <c r="D295" t="s">
        <v>147</v>
      </c>
      <c r="E295" t="str">
        <f>VLOOKUP(F295,References!$D$1:$F$50,3,TRUE)</f>
        <v>Data Scientist</v>
      </c>
      <c r="F295" t="s">
        <v>13</v>
      </c>
      <c r="G295">
        <v>90000</v>
      </c>
      <c r="H295" t="s">
        <v>29</v>
      </c>
      <c r="I295">
        <v>0</v>
      </c>
      <c r="J295" t="s">
        <v>29</v>
      </c>
      <c r="K295" t="str">
        <f>VLOOKUP(J295,CountryName!$B:$C,2,TRUE)</f>
        <v>North America</v>
      </c>
      <c r="L295" t="s">
        <v>153</v>
      </c>
    </row>
    <row r="296" spans="1:12" x14ac:dyDescent="0.2">
      <c r="A296" s="1">
        <v>2022</v>
      </c>
      <c r="B296" t="str">
        <f>VLOOKUP(C296,References!$A$5:$B$8,2,TRUE)</f>
        <v>Mid level</v>
      </c>
      <c r="C296" t="s">
        <v>11</v>
      </c>
      <c r="D296" t="s">
        <v>147</v>
      </c>
      <c r="E296" t="str">
        <f>VLOOKUP(F296,References!$D$1:$F$50,3,TRUE)</f>
        <v>Data Engineer</v>
      </c>
      <c r="F296" t="s">
        <v>43</v>
      </c>
      <c r="G296">
        <v>170000</v>
      </c>
      <c r="H296" t="s">
        <v>29</v>
      </c>
      <c r="I296">
        <v>100</v>
      </c>
      <c r="J296" t="s">
        <v>29</v>
      </c>
      <c r="K296" t="str">
        <f>VLOOKUP(J296,CountryName!$B:$C,2,TRUE)</f>
        <v>North America</v>
      </c>
      <c r="L296" t="s">
        <v>153</v>
      </c>
    </row>
    <row r="297" spans="1:12" x14ac:dyDescent="0.2">
      <c r="A297" s="1">
        <v>2022</v>
      </c>
      <c r="B297" t="str">
        <f>VLOOKUP(C297,References!$A$5:$B$8,2,TRUE)</f>
        <v>Mid level</v>
      </c>
      <c r="C297" t="s">
        <v>11</v>
      </c>
      <c r="D297" t="s">
        <v>147</v>
      </c>
      <c r="E297" t="str">
        <f>VLOOKUP(F297,References!$D$1:$F$50,3,TRUE)</f>
        <v>Data Engineer</v>
      </c>
      <c r="F297" t="s">
        <v>43</v>
      </c>
      <c r="G297">
        <v>150000</v>
      </c>
      <c r="H297" t="s">
        <v>29</v>
      </c>
      <c r="I297">
        <v>100</v>
      </c>
      <c r="J297" t="s">
        <v>29</v>
      </c>
      <c r="K297" t="str">
        <f>VLOOKUP(J297,CountryName!$B:$C,2,TRUE)</f>
        <v>North America</v>
      </c>
      <c r="L297" t="s">
        <v>153</v>
      </c>
    </row>
    <row r="298" spans="1:12" x14ac:dyDescent="0.2">
      <c r="A298" s="1">
        <v>2022</v>
      </c>
      <c r="B298" t="str">
        <f>VLOOKUP(C298,References!$A$5:$B$8,2,TRUE)</f>
        <v>Senior Level</v>
      </c>
      <c r="C298" t="s">
        <v>17</v>
      </c>
      <c r="D298" t="s">
        <v>147</v>
      </c>
      <c r="E298" t="str">
        <f>VLOOKUP(F298,References!$D$1:$F$50,3,TRUE)</f>
        <v>Data Analyst</v>
      </c>
      <c r="F298" t="s">
        <v>31</v>
      </c>
      <c r="G298">
        <v>102100</v>
      </c>
      <c r="H298" t="s">
        <v>29</v>
      </c>
      <c r="I298">
        <v>100</v>
      </c>
      <c r="J298" t="s">
        <v>29</v>
      </c>
      <c r="K298" t="str">
        <f>VLOOKUP(J298,CountryName!$B:$C,2,TRUE)</f>
        <v>North America</v>
      </c>
      <c r="L298" t="s">
        <v>153</v>
      </c>
    </row>
    <row r="299" spans="1:12" x14ac:dyDescent="0.2">
      <c r="A299" s="1">
        <v>2022</v>
      </c>
      <c r="B299" t="str">
        <f>VLOOKUP(C299,References!$A$5:$B$8,2,TRUE)</f>
        <v>Senior Level</v>
      </c>
      <c r="C299" t="s">
        <v>17</v>
      </c>
      <c r="D299" t="s">
        <v>147</v>
      </c>
      <c r="E299" t="str">
        <f>VLOOKUP(F299,References!$D$1:$F$50,3,TRUE)</f>
        <v>Data Analyst</v>
      </c>
      <c r="F299" t="s">
        <v>31</v>
      </c>
      <c r="G299">
        <v>84900</v>
      </c>
      <c r="H299" t="s">
        <v>29</v>
      </c>
      <c r="I299">
        <v>100</v>
      </c>
      <c r="J299" t="s">
        <v>29</v>
      </c>
      <c r="K299" t="str">
        <f>VLOOKUP(J299,CountryName!$B:$C,2,TRUE)</f>
        <v>North America</v>
      </c>
      <c r="L299" t="s">
        <v>153</v>
      </c>
    </row>
    <row r="300" spans="1:12" x14ac:dyDescent="0.2">
      <c r="A300" s="1">
        <v>2022</v>
      </c>
      <c r="B300" t="str">
        <f>VLOOKUP(C300,References!$A$5:$B$8,2,TRUE)</f>
        <v>Senior Level</v>
      </c>
      <c r="C300" t="s">
        <v>17</v>
      </c>
      <c r="D300" t="s">
        <v>147</v>
      </c>
      <c r="E300" t="str">
        <f>VLOOKUP(F300,References!$D$1:$F$50,3,TRUE)</f>
        <v>Data Scientist</v>
      </c>
      <c r="F300" t="s">
        <v>13</v>
      </c>
      <c r="G300">
        <v>136620</v>
      </c>
      <c r="H300" t="s">
        <v>29</v>
      </c>
      <c r="I300">
        <v>100</v>
      </c>
      <c r="J300" t="s">
        <v>29</v>
      </c>
      <c r="K300" t="str">
        <f>VLOOKUP(J300,CountryName!$B:$C,2,TRUE)</f>
        <v>North America</v>
      </c>
      <c r="L300" t="s">
        <v>153</v>
      </c>
    </row>
    <row r="301" spans="1:12" x14ac:dyDescent="0.2">
      <c r="A301" s="1">
        <v>2022</v>
      </c>
      <c r="B301" t="str">
        <f>VLOOKUP(C301,References!$A$5:$B$8,2,TRUE)</f>
        <v>Senior Level</v>
      </c>
      <c r="C301" t="s">
        <v>17</v>
      </c>
      <c r="D301" t="s">
        <v>147</v>
      </c>
      <c r="E301" t="str">
        <f>VLOOKUP(F301,References!$D$1:$F$50,3,TRUE)</f>
        <v>Data Scientist</v>
      </c>
      <c r="F301" t="s">
        <v>13</v>
      </c>
      <c r="G301">
        <v>99360</v>
      </c>
      <c r="H301" t="s">
        <v>29</v>
      </c>
      <c r="I301">
        <v>100</v>
      </c>
      <c r="J301" t="s">
        <v>29</v>
      </c>
      <c r="K301" t="str">
        <f>VLOOKUP(J301,CountryName!$B:$C,2,TRUE)</f>
        <v>North America</v>
      </c>
      <c r="L301" t="s">
        <v>153</v>
      </c>
    </row>
    <row r="302" spans="1:12" x14ac:dyDescent="0.2">
      <c r="A302" s="1">
        <v>2022</v>
      </c>
      <c r="B302" t="str">
        <f>VLOOKUP(C302,References!$A$5:$B$8,2,TRUE)</f>
        <v>Senior Level</v>
      </c>
      <c r="C302" t="s">
        <v>17</v>
      </c>
      <c r="D302" t="s">
        <v>147</v>
      </c>
      <c r="E302" t="str">
        <f>VLOOKUP(F302,References!$D$1:$F$50,3,TRUE)</f>
        <v>Data Scientist</v>
      </c>
      <c r="F302" t="s">
        <v>13</v>
      </c>
      <c r="G302">
        <v>117789</v>
      </c>
      <c r="H302" t="s">
        <v>24</v>
      </c>
      <c r="I302">
        <v>0</v>
      </c>
      <c r="J302" t="s">
        <v>24</v>
      </c>
      <c r="K302" t="str">
        <f>VLOOKUP(J302,CountryName!$B:$C,2,TRUE)</f>
        <v>Europe</v>
      </c>
      <c r="L302" t="s">
        <v>153</v>
      </c>
    </row>
    <row r="303" spans="1:12" x14ac:dyDescent="0.2">
      <c r="A303" s="1">
        <v>2022</v>
      </c>
      <c r="B303" t="str">
        <f>VLOOKUP(C303,References!$A$5:$B$8,2,TRUE)</f>
        <v>Senior Level</v>
      </c>
      <c r="C303" t="s">
        <v>17</v>
      </c>
      <c r="D303" t="s">
        <v>147</v>
      </c>
      <c r="E303" t="str">
        <f>VLOOKUP(F303,References!$D$1:$F$50,3,TRUE)</f>
        <v>Data Scientist</v>
      </c>
      <c r="F303" t="s">
        <v>13</v>
      </c>
      <c r="G303">
        <v>104702</v>
      </c>
      <c r="H303" t="s">
        <v>24</v>
      </c>
      <c r="I303">
        <v>0</v>
      </c>
      <c r="J303" t="s">
        <v>24</v>
      </c>
      <c r="K303" t="str">
        <f>VLOOKUP(J303,CountryName!$B:$C,2,TRUE)</f>
        <v>Europe</v>
      </c>
      <c r="L303" t="s">
        <v>153</v>
      </c>
    </row>
    <row r="304" spans="1:12" x14ac:dyDescent="0.2">
      <c r="A304" s="1">
        <v>2022</v>
      </c>
      <c r="B304" t="str">
        <f>VLOOKUP(C304,References!$A$5:$B$8,2,TRUE)</f>
        <v>Senior Level</v>
      </c>
      <c r="C304" t="s">
        <v>17</v>
      </c>
      <c r="D304" t="s">
        <v>147</v>
      </c>
      <c r="E304" t="str">
        <f>VLOOKUP(F304,References!$D$1:$F$50,3,TRUE)</f>
        <v>Data Scientist</v>
      </c>
      <c r="F304" t="s">
        <v>13</v>
      </c>
      <c r="G304">
        <v>146000</v>
      </c>
      <c r="H304" t="s">
        <v>29</v>
      </c>
      <c r="I304">
        <v>100</v>
      </c>
      <c r="J304" t="s">
        <v>29</v>
      </c>
      <c r="K304" t="str">
        <f>VLOOKUP(J304,CountryName!$B:$C,2,TRUE)</f>
        <v>North America</v>
      </c>
      <c r="L304" t="s">
        <v>153</v>
      </c>
    </row>
    <row r="305" spans="1:12" x14ac:dyDescent="0.2">
      <c r="A305" s="1">
        <v>2022</v>
      </c>
      <c r="B305" t="str">
        <f>VLOOKUP(C305,References!$A$5:$B$8,2,TRUE)</f>
        <v>Senior Level</v>
      </c>
      <c r="C305" t="s">
        <v>17</v>
      </c>
      <c r="D305" t="s">
        <v>147</v>
      </c>
      <c r="E305" t="str">
        <f>VLOOKUP(F305,References!$D$1:$F$50,3,TRUE)</f>
        <v>Data Scientist</v>
      </c>
      <c r="F305" t="s">
        <v>13</v>
      </c>
      <c r="G305">
        <v>123000</v>
      </c>
      <c r="H305" t="s">
        <v>29</v>
      </c>
      <c r="I305">
        <v>100</v>
      </c>
      <c r="J305" t="s">
        <v>29</v>
      </c>
      <c r="K305" t="str">
        <f>VLOOKUP(J305,CountryName!$B:$C,2,TRUE)</f>
        <v>North America</v>
      </c>
      <c r="L305" t="s">
        <v>153</v>
      </c>
    </row>
    <row r="306" spans="1:12" x14ac:dyDescent="0.2">
      <c r="A306" s="1">
        <v>2022</v>
      </c>
      <c r="B306" t="str">
        <f>VLOOKUP(C306,References!$A$5:$B$8,2,TRUE)</f>
        <v>Entry Level</v>
      </c>
      <c r="C306" t="s">
        <v>30</v>
      </c>
      <c r="D306" t="s">
        <v>147</v>
      </c>
      <c r="E306" t="str">
        <f>VLOOKUP(F306,References!$D$1:$F$50,3,TRUE)</f>
        <v>Data Engineer</v>
      </c>
      <c r="F306" t="s">
        <v>43</v>
      </c>
      <c r="G306">
        <v>52351</v>
      </c>
      <c r="H306" t="s">
        <v>24</v>
      </c>
      <c r="I306">
        <v>100</v>
      </c>
      <c r="J306" t="s">
        <v>24</v>
      </c>
      <c r="K306" t="str">
        <f>VLOOKUP(J306,CountryName!$B:$C,2,TRUE)</f>
        <v>Europe</v>
      </c>
      <c r="L306" t="s">
        <v>153</v>
      </c>
    </row>
    <row r="307" spans="1:12" x14ac:dyDescent="0.2">
      <c r="A307" s="1">
        <v>2022</v>
      </c>
      <c r="B307" t="str">
        <f>VLOOKUP(C307,References!$A$5:$B$8,2,TRUE)</f>
        <v>Senior Level</v>
      </c>
      <c r="C307" t="s">
        <v>17</v>
      </c>
      <c r="D307" t="s">
        <v>147</v>
      </c>
      <c r="E307" t="str">
        <f>VLOOKUP(F307,References!$D$1:$F$50,3,TRUE)</f>
        <v>Data Analyst</v>
      </c>
      <c r="F307" t="s">
        <v>31</v>
      </c>
      <c r="G307">
        <v>99000</v>
      </c>
      <c r="H307" t="s">
        <v>29</v>
      </c>
      <c r="I307">
        <v>0</v>
      </c>
      <c r="J307" t="s">
        <v>29</v>
      </c>
      <c r="K307" t="str">
        <f>VLOOKUP(J307,CountryName!$B:$C,2,TRUE)</f>
        <v>North America</v>
      </c>
      <c r="L307" t="s">
        <v>153</v>
      </c>
    </row>
    <row r="308" spans="1:12" x14ac:dyDescent="0.2">
      <c r="A308" s="1">
        <v>2022</v>
      </c>
      <c r="B308" t="str">
        <f>VLOOKUP(C308,References!$A$5:$B$8,2,TRUE)</f>
        <v>Senior Level</v>
      </c>
      <c r="C308" t="s">
        <v>17</v>
      </c>
      <c r="D308" t="s">
        <v>147</v>
      </c>
      <c r="E308" t="str">
        <f>VLOOKUP(F308,References!$D$1:$F$50,3,TRUE)</f>
        <v>Data Analyst</v>
      </c>
      <c r="F308" t="s">
        <v>31</v>
      </c>
      <c r="G308">
        <v>116000</v>
      </c>
      <c r="H308" t="s">
        <v>29</v>
      </c>
      <c r="I308">
        <v>0</v>
      </c>
      <c r="J308" t="s">
        <v>29</v>
      </c>
      <c r="K308" t="str">
        <f>VLOOKUP(J308,CountryName!$B:$C,2,TRUE)</f>
        <v>North America</v>
      </c>
      <c r="L308" t="s">
        <v>153</v>
      </c>
    </row>
    <row r="309" spans="1:12" x14ac:dyDescent="0.2">
      <c r="A309" s="1">
        <v>2022</v>
      </c>
      <c r="B309" t="str">
        <f>VLOOKUP(C309,References!$A$5:$B$8,2,TRUE)</f>
        <v>Mid level</v>
      </c>
      <c r="C309" t="s">
        <v>11</v>
      </c>
      <c r="D309" t="s">
        <v>147</v>
      </c>
      <c r="E309" t="str">
        <f>VLOOKUP(F309,References!$D$1:$F$50,3,TRUE)</f>
        <v>Data Analyst</v>
      </c>
      <c r="F309" t="s">
        <v>31</v>
      </c>
      <c r="G309">
        <v>106260</v>
      </c>
      <c r="H309" t="s">
        <v>29</v>
      </c>
      <c r="I309">
        <v>0</v>
      </c>
      <c r="J309" t="s">
        <v>29</v>
      </c>
      <c r="K309" t="str">
        <f>VLOOKUP(J309,CountryName!$B:$C,2,TRUE)</f>
        <v>North America</v>
      </c>
      <c r="L309" t="s">
        <v>153</v>
      </c>
    </row>
    <row r="310" spans="1:12" x14ac:dyDescent="0.2">
      <c r="A310" s="1">
        <v>2022</v>
      </c>
      <c r="B310" t="str">
        <f>VLOOKUP(C310,References!$A$5:$B$8,2,TRUE)</f>
        <v>Mid level</v>
      </c>
      <c r="C310" t="s">
        <v>11</v>
      </c>
      <c r="D310" t="s">
        <v>147</v>
      </c>
      <c r="E310" t="str">
        <f>VLOOKUP(F310,References!$D$1:$F$50,3,TRUE)</f>
        <v>Data Analyst</v>
      </c>
      <c r="F310" t="s">
        <v>31</v>
      </c>
      <c r="G310">
        <v>126500</v>
      </c>
      <c r="H310" t="s">
        <v>29</v>
      </c>
      <c r="I310">
        <v>0</v>
      </c>
      <c r="J310" t="s">
        <v>29</v>
      </c>
      <c r="K310" t="str">
        <f>VLOOKUP(J310,CountryName!$B:$C,2,TRUE)</f>
        <v>North America</v>
      </c>
      <c r="L310" t="s">
        <v>153</v>
      </c>
    </row>
    <row r="311" spans="1:12" x14ac:dyDescent="0.2">
      <c r="A311" s="1">
        <v>2022</v>
      </c>
      <c r="B311" t="str">
        <f>VLOOKUP(C311,References!$A$5:$B$8,2,TRUE)</f>
        <v>Expert Level</v>
      </c>
      <c r="C311" t="s">
        <v>53</v>
      </c>
      <c r="D311" t="s">
        <v>147</v>
      </c>
      <c r="E311" t="str">
        <f>VLOOKUP(F311,References!$D$1:$F$50,3,TRUE)</f>
        <v>Data Engineer</v>
      </c>
      <c r="F311" t="s">
        <v>43</v>
      </c>
      <c r="G311">
        <v>242000</v>
      </c>
      <c r="H311" t="s">
        <v>29</v>
      </c>
      <c r="I311">
        <v>100</v>
      </c>
      <c r="J311" t="s">
        <v>29</v>
      </c>
      <c r="K311" t="str">
        <f>VLOOKUP(J311,CountryName!$B:$C,2,TRUE)</f>
        <v>North America</v>
      </c>
      <c r="L311" t="s">
        <v>153</v>
      </c>
    </row>
    <row r="312" spans="1:12" x14ac:dyDescent="0.2">
      <c r="A312" s="1">
        <v>2022</v>
      </c>
      <c r="B312" t="str">
        <f>VLOOKUP(C312,References!$A$5:$B$8,2,TRUE)</f>
        <v>Expert Level</v>
      </c>
      <c r="C312" t="s">
        <v>53</v>
      </c>
      <c r="D312" t="s">
        <v>147</v>
      </c>
      <c r="E312" t="str">
        <f>VLOOKUP(F312,References!$D$1:$F$50,3,TRUE)</f>
        <v>Data Engineer</v>
      </c>
      <c r="F312" t="s">
        <v>43</v>
      </c>
      <c r="G312">
        <v>200000</v>
      </c>
      <c r="H312" t="s">
        <v>29</v>
      </c>
      <c r="I312">
        <v>100</v>
      </c>
      <c r="J312" t="s">
        <v>29</v>
      </c>
      <c r="K312" t="str">
        <f>VLOOKUP(J312,CountryName!$B:$C,2,TRUE)</f>
        <v>North America</v>
      </c>
      <c r="L312" t="s">
        <v>153</v>
      </c>
    </row>
    <row r="313" spans="1:12" x14ac:dyDescent="0.2">
      <c r="A313" s="1">
        <v>2022</v>
      </c>
      <c r="B313" t="str">
        <f>VLOOKUP(C313,References!$A$5:$B$8,2,TRUE)</f>
        <v>Mid level</v>
      </c>
      <c r="C313" t="s">
        <v>11</v>
      </c>
      <c r="D313" t="s">
        <v>147</v>
      </c>
      <c r="E313" t="str">
        <f>VLOOKUP(F313,References!$D$1:$F$50,3,TRUE)</f>
        <v>Data Scientist</v>
      </c>
      <c r="F313" t="s">
        <v>13</v>
      </c>
      <c r="G313">
        <v>65438</v>
      </c>
      <c r="H313" t="s">
        <v>24</v>
      </c>
      <c r="I313">
        <v>0</v>
      </c>
      <c r="J313" t="s">
        <v>24</v>
      </c>
      <c r="K313" t="str">
        <f>VLOOKUP(J313,CountryName!$B:$C,2,TRUE)</f>
        <v>Europe</v>
      </c>
      <c r="L313" t="s">
        <v>153</v>
      </c>
    </row>
    <row r="314" spans="1:12" x14ac:dyDescent="0.2">
      <c r="A314" s="1">
        <v>2022</v>
      </c>
      <c r="B314" t="str">
        <f>VLOOKUP(C314,References!$A$5:$B$8,2,TRUE)</f>
        <v>Mid level</v>
      </c>
      <c r="C314" t="s">
        <v>11</v>
      </c>
      <c r="D314" t="s">
        <v>147</v>
      </c>
      <c r="E314" t="str">
        <f>VLOOKUP(F314,References!$D$1:$F$50,3,TRUE)</f>
        <v>Data Scientist</v>
      </c>
      <c r="F314" t="s">
        <v>13</v>
      </c>
      <c r="G314">
        <v>39263</v>
      </c>
      <c r="H314" t="s">
        <v>24</v>
      </c>
      <c r="I314">
        <v>0</v>
      </c>
      <c r="J314" t="s">
        <v>24</v>
      </c>
      <c r="K314" t="str">
        <f>VLOOKUP(J314,CountryName!$B:$C,2,TRUE)</f>
        <v>Europe</v>
      </c>
      <c r="L314" t="s">
        <v>153</v>
      </c>
    </row>
    <row r="315" spans="1:12" x14ac:dyDescent="0.2">
      <c r="A315" s="1">
        <v>2022</v>
      </c>
      <c r="B315" t="str">
        <f>VLOOKUP(C315,References!$A$5:$B$8,2,TRUE)</f>
        <v>Mid level</v>
      </c>
      <c r="C315" t="s">
        <v>11</v>
      </c>
      <c r="D315" t="s">
        <v>147</v>
      </c>
      <c r="E315" t="str">
        <f>VLOOKUP(F315,References!$D$1:$F$50,3,TRUE)</f>
        <v>Data Engineer</v>
      </c>
      <c r="F315" t="s">
        <v>43</v>
      </c>
      <c r="G315">
        <v>78526</v>
      </c>
      <c r="H315" t="s">
        <v>24</v>
      </c>
      <c r="I315">
        <v>0</v>
      </c>
      <c r="J315" t="s">
        <v>24</v>
      </c>
      <c r="K315" t="str">
        <f>VLOOKUP(J315,CountryName!$B:$C,2,TRUE)</f>
        <v>Europe</v>
      </c>
      <c r="L315" t="s">
        <v>153</v>
      </c>
    </row>
    <row r="316" spans="1:12" x14ac:dyDescent="0.2">
      <c r="A316" s="1">
        <v>2022</v>
      </c>
      <c r="B316" t="str">
        <f>VLOOKUP(C316,References!$A$5:$B$8,2,TRUE)</f>
        <v>Mid level</v>
      </c>
      <c r="C316" t="s">
        <v>11</v>
      </c>
      <c r="D316" t="s">
        <v>147</v>
      </c>
      <c r="E316" t="str">
        <f>VLOOKUP(F316,References!$D$1:$F$50,3,TRUE)</f>
        <v>Data Engineer</v>
      </c>
      <c r="F316" t="s">
        <v>43</v>
      </c>
      <c r="G316">
        <v>52351</v>
      </c>
      <c r="H316" t="s">
        <v>24</v>
      </c>
      <c r="I316">
        <v>0</v>
      </c>
      <c r="J316" t="s">
        <v>24</v>
      </c>
      <c r="K316" t="str">
        <f>VLOOKUP(J316,CountryName!$B:$C,2,TRUE)</f>
        <v>Europe</v>
      </c>
      <c r="L316" t="s">
        <v>153</v>
      </c>
    </row>
    <row r="317" spans="1:12" x14ac:dyDescent="0.2">
      <c r="A317" s="1">
        <v>2022</v>
      </c>
      <c r="B317" t="str">
        <f>VLOOKUP(C317,References!$A$5:$B$8,2,TRUE)</f>
        <v>Senior Level</v>
      </c>
      <c r="C317" t="s">
        <v>17</v>
      </c>
      <c r="D317" t="s">
        <v>147</v>
      </c>
      <c r="E317" t="str">
        <f>VLOOKUP(F317,References!$D$1:$F$50,3,TRUE)</f>
        <v>Data Scientist</v>
      </c>
      <c r="F317" t="s">
        <v>13</v>
      </c>
      <c r="G317">
        <v>165220</v>
      </c>
      <c r="H317" t="s">
        <v>29</v>
      </c>
      <c r="I317">
        <v>100</v>
      </c>
      <c r="J317" t="s">
        <v>29</v>
      </c>
      <c r="K317" t="str">
        <f>VLOOKUP(J317,CountryName!$B:$C,2,TRUE)</f>
        <v>North America</v>
      </c>
      <c r="L317" t="s">
        <v>153</v>
      </c>
    </row>
    <row r="318" spans="1:12" x14ac:dyDescent="0.2">
      <c r="A318" s="1">
        <v>2022</v>
      </c>
      <c r="B318" t="str">
        <f>VLOOKUP(C318,References!$A$5:$B$8,2,TRUE)</f>
        <v>Entry Level</v>
      </c>
      <c r="C318" t="s">
        <v>30</v>
      </c>
      <c r="D318" t="s">
        <v>147</v>
      </c>
      <c r="E318" t="str">
        <f>VLOOKUP(F318,References!$D$1:$F$50,3,TRUE)</f>
        <v>Data Engineer</v>
      </c>
      <c r="F318" t="s">
        <v>43</v>
      </c>
      <c r="G318">
        <v>45807</v>
      </c>
      <c r="H318" t="s">
        <v>24</v>
      </c>
      <c r="I318">
        <v>100</v>
      </c>
      <c r="J318" t="s">
        <v>24</v>
      </c>
      <c r="K318" t="str">
        <f>VLOOKUP(J318,CountryName!$B:$C,2,TRUE)</f>
        <v>Europe</v>
      </c>
      <c r="L318" t="s">
        <v>153</v>
      </c>
    </row>
    <row r="319" spans="1:12" x14ac:dyDescent="0.2">
      <c r="A319" s="1">
        <v>2022</v>
      </c>
      <c r="B319" t="str">
        <f>VLOOKUP(C319,References!$A$5:$B$8,2,TRUE)</f>
        <v>Senior Level</v>
      </c>
      <c r="C319" t="s">
        <v>17</v>
      </c>
      <c r="D319" t="s">
        <v>147</v>
      </c>
      <c r="E319" t="str">
        <f>VLOOKUP(F319,References!$D$1:$F$50,3,TRUE)</f>
        <v>Data Scientist</v>
      </c>
      <c r="F319" t="s">
        <v>13</v>
      </c>
      <c r="G319">
        <v>120160</v>
      </c>
      <c r="H319" t="s">
        <v>29</v>
      </c>
      <c r="I319">
        <v>100</v>
      </c>
      <c r="J319" t="s">
        <v>29</v>
      </c>
      <c r="K319" t="str">
        <f>VLOOKUP(J319,CountryName!$B:$C,2,TRUE)</f>
        <v>North America</v>
      </c>
      <c r="L319" t="s">
        <v>153</v>
      </c>
    </row>
    <row r="320" spans="1:12" x14ac:dyDescent="0.2">
      <c r="A320" s="1">
        <v>2022</v>
      </c>
      <c r="B320" t="str">
        <f>VLOOKUP(C320,References!$A$5:$B$8,2,TRUE)</f>
        <v>Senior Level</v>
      </c>
      <c r="C320" t="s">
        <v>17</v>
      </c>
      <c r="D320" t="s">
        <v>147</v>
      </c>
      <c r="E320" t="str">
        <f>VLOOKUP(F320,References!$D$1:$F$50,3,TRUE)</f>
        <v>Data Analyst</v>
      </c>
      <c r="F320" t="s">
        <v>31</v>
      </c>
      <c r="G320">
        <v>90320</v>
      </c>
      <c r="H320" t="s">
        <v>29</v>
      </c>
      <c r="I320">
        <v>100</v>
      </c>
      <c r="J320" t="s">
        <v>29</v>
      </c>
      <c r="K320" t="str">
        <f>VLOOKUP(J320,CountryName!$B:$C,2,TRUE)</f>
        <v>North America</v>
      </c>
      <c r="L320" t="s">
        <v>153</v>
      </c>
    </row>
    <row r="321" spans="1:12" x14ac:dyDescent="0.2">
      <c r="A321" s="1">
        <v>2022</v>
      </c>
      <c r="B321" t="str">
        <f>VLOOKUP(C321,References!$A$5:$B$8,2,TRUE)</f>
        <v>Senior Level</v>
      </c>
      <c r="C321" t="s">
        <v>17</v>
      </c>
      <c r="D321" t="s">
        <v>147</v>
      </c>
      <c r="E321" t="str">
        <f>VLOOKUP(F321,References!$D$1:$F$50,3,TRUE)</f>
        <v>Data Engineer</v>
      </c>
      <c r="F321" t="s">
        <v>43</v>
      </c>
      <c r="G321">
        <v>181940</v>
      </c>
      <c r="H321" t="s">
        <v>29</v>
      </c>
      <c r="I321">
        <v>0</v>
      </c>
      <c r="J321" t="s">
        <v>29</v>
      </c>
      <c r="K321" t="str">
        <f>VLOOKUP(J321,CountryName!$B:$C,2,TRUE)</f>
        <v>North America</v>
      </c>
      <c r="L321" t="s">
        <v>153</v>
      </c>
    </row>
    <row r="322" spans="1:12" x14ac:dyDescent="0.2">
      <c r="A322" s="1">
        <v>2022</v>
      </c>
      <c r="B322" t="str">
        <f>VLOOKUP(C322,References!$A$5:$B$8,2,TRUE)</f>
        <v>Senior Level</v>
      </c>
      <c r="C322" t="s">
        <v>17</v>
      </c>
      <c r="D322" t="s">
        <v>147</v>
      </c>
      <c r="E322" t="str">
        <f>VLOOKUP(F322,References!$D$1:$F$50,3,TRUE)</f>
        <v>Data Engineer</v>
      </c>
      <c r="F322" t="s">
        <v>43</v>
      </c>
      <c r="G322">
        <v>132320</v>
      </c>
      <c r="H322" t="s">
        <v>29</v>
      </c>
      <c r="I322">
        <v>0</v>
      </c>
      <c r="J322" t="s">
        <v>29</v>
      </c>
      <c r="K322" t="str">
        <f>VLOOKUP(J322,CountryName!$B:$C,2,TRUE)</f>
        <v>North America</v>
      </c>
      <c r="L322" t="s">
        <v>153</v>
      </c>
    </row>
    <row r="323" spans="1:12" x14ac:dyDescent="0.2">
      <c r="A323" s="1">
        <v>2022</v>
      </c>
      <c r="B323" t="str">
        <f>VLOOKUP(C323,References!$A$5:$B$8,2,TRUE)</f>
        <v>Senior Level</v>
      </c>
      <c r="C323" t="s">
        <v>17</v>
      </c>
      <c r="D323" t="s">
        <v>147</v>
      </c>
      <c r="E323" t="str">
        <f>VLOOKUP(F323,References!$D$1:$F$50,3,TRUE)</f>
        <v>Data Engineer</v>
      </c>
      <c r="F323" t="s">
        <v>43</v>
      </c>
      <c r="G323">
        <v>220110</v>
      </c>
      <c r="H323" t="s">
        <v>29</v>
      </c>
      <c r="I323">
        <v>0</v>
      </c>
      <c r="J323" t="s">
        <v>29</v>
      </c>
      <c r="K323" t="str">
        <f>VLOOKUP(J323,CountryName!$B:$C,2,TRUE)</f>
        <v>North America</v>
      </c>
      <c r="L323" t="s">
        <v>153</v>
      </c>
    </row>
    <row r="324" spans="1:12" x14ac:dyDescent="0.2">
      <c r="A324" s="1">
        <v>2022</v>
      </c>
      <c r="B324" t="str">
        <f>VLOOKUP(C324,References!$A$5:$B$8,2,TRUE)</f>
        <v>Senior Level</v>
      </c>
      <c r="C324" t="s">
        <v>17</v>
      </c>
      <c r="D324" t="s">
        <v>147</v>
      </c>
      <c r="E324" t="str">
        <f>VLOOKUP(F324,References!$D$1:$F$50,3,TRUE)</f>
        <v>Data Engineer</v>
      </c>
      <c r="F324" t="s">
        <v>43</v>
      </c>
      <c r="G324">
        <v>160080</v>
      </c>
      <c r="H324" t="s">
        <v>29</v>
      </c>
      <c r="I324">
        <v>0</v>
      </c>
      <c r="J324" t="s">
        <v>29</v>
      </c>
      <c r="K324" t="str">
        <f>VLOOKUP(J324,CountryName!$B:$C,2,TRUE)</f>
        <v>North America</v>
      </c>
      <c r="L324" t="s">
        <v>153</v>
      </c>
    </row>
    <row r="325" spans="1:12" x14ac:dyDescent="0.2">
      <c r="A325" s="1">
        <v>2022</v>
      </c>
      <c r="B325" t="str">
        <f>VLOOKUP(C325,References!$A$5:$B$8,2,TRUE)</f>
        <v>Senior Level</v>
      </c>
      <c r="C325" t="s">
        <v>17</v>
      </c>
      <c r="D325" t="s">
        <v>147</v>
      </c>
      <c r="E325" t="str">
        <f>VLOOKUP(F325,References!$D$1:$F$50,3,TRUE)</f>
        <v>Data Scientist</v>
      </c>
      <c r="F325" t="s">
        <v>13</v>
      </c>
      <c r="G325">
        <v>180000</v>
      </c>
      <c r="H325" t="s">
        <v>29</v>
      </c>
      <c r="I325">
        <v>0</v>
      </c>
      <c r="J325" t="s">
        <v>29</v>
      </c>
      <c r="K325" t="str">
        <f>VLOOKUP(J325,CountryName!$B:$C,2,TRUE)</f>
        <v>North America</v>
      </c>
      <c r="L325" t="s">
        <v>151</v>
      </c>
    </row>
    <row r="326" spans="1:12" x14ac:dyDescent="0.2">
      <c r="A326" s="1">
        <v>2022</v>
      </c>
      <c r="B326" t="str">
        <f>VLOOKUP(C326,References!$A$5:$B$8,2,TRUE)</f>
        <v>Senior Level</v>
      </c>
      <c r="C326" t="s">
        <v>17</v>
      </c>
      <c r="D326" t="s">
        <v>147</v>
      </c>
      <c r="E326" t="str">
        <f>VLOOKUP(F326,References!$D$1:$F$50,3,TRUE)</f>
        <v>Data Scientist</v>
      </c>
      <c r="F326" t="s">
        <v>13</v>
      </c>
      <c r="G326">
        <v>120000</v>
      </c>
      <c r="H326" t="s">
        <v>29</v>
      </c>
      <c r="I326">
        <v>0</v>
      </c>
      <c r="J326" t="s">
        <v>29</v>
      </c>
      <c r="K326" t="str">
        <f>VLOOKUP(J326,CountryName!$B:$C,2,TRUE)</f>
        <v>North America</v>
      </c>
      <c r="L326" t="s">
        <v>151</v>
      </c>
    </row>
    <row r="327" spans="1:12" x14ac:dyDescent="0.2">
      <c r="A327" s="1">
        <v>2022</v>
      </c>
      <c r="B327" t="str">
        <f>VLOOKUP(C327,References!$A$5:$B$8,2,TRUE)</f>
        <v>Senior Level</v>
      </c>
      <c r="C327" t="s">
        <v>17</v>
      </c>
      <c r="D327" t="s">
        <v>147</v>
      </c>
      <c r="E327" t="str">
        <f>VLOOKUP(F327,References!$D$1:$F$50,3,TRUE)</f>
        <v>Data Analyst</v>
      </c>
      <c r="F327" t="s">
        <v>31</v>
      </c>
      <c r="G327">
        <v>124190</v>
      </c>
      <c r="H327" t="s">
        <v>29</v>
      </c>
      <c r="I327">
        <v>100</v>
      </c>
      <c r="J327" t="s">
        <v>29</v>
      </c>
      <c r="K327" t="str">
        <f>VLOOKUP(J327,CountryName!$B:$C,2,TRUE)</f>
        <v>North America</v>
      </c>
      <c r="L327" t="s">
        <v>153</v>
      </c>
    </row>
    <row r="328" spans="1:12" x14ac:dyDescent="0.2">
      <c r="A328" s="1">
        <v>2022</v>
      </c>
      <c r="B328" t="str">
        <f>VLOOKUP(C328,References!$A$5:$B$8,2,TRUE)</f>
        <v>Expert Level</v>
      </c>
      <c r="C328" t="s">
        <v>53</v>
      </c>
      <c r="D328" t="s">
        <v>147</v>
      </c>
      <c r="E328" t="str">
        <f>VLOOKUP(F328,References!$D$1:$F$50,3,TRUE)</f>
        <v>Data Analyst</v>
      </c>
      <c r="F328" t="s">
        <v>31</v>
      </c>
      <c r="G328">
        <v>130000</v>
      </c>
      <c r="H328" t="s">
        <v>29</v>
      </c>
      <c r="I328">
        <v>100</v>
      </c>
      <c r="J328" t="s">
        <v>29</v>
      </c>
      <c r="K328" t="str">
        <f>VLOOKUP(J328,CountryName!$B:$C,2,TRUE)</f>
        <v>North America</v>
      </c>
      <c r="L328" t="s">
        <v>153</v>
      </c>
    </row>
    <row r="329" spans="1:12" x14ac:dyDescent="0.2">
      <c r="A329" s="1">
        <v>2022</v>
      </c>
      <c r="B329" t="str">
        <f>VLOOKUP(C329,References!$A$5:$B$8,2,TRUE)</f>
        <v>Expert Level</v>
      </c>
      <c r="C329" t="s">
        <v>53</v>
      </c>
      <c r="D329" t="s">
        <v>147</v>
      </c>
      <c r="E329" t="str">
        <f>VLOOKUP(F329,References!$D$1:$F$50,3,TRUE)</f>
        <v>Data Analyst</v>
      </c>
      <c r="F329" t="s">
        <v>31</v>
      </c>
      <c r="G329">
        <v>110000</v>
      </c>
      <c r="H329" t="s">
        <v>29</v>
      </c>
      <c r="I329">
        <v>100</v>
      </c>
      <c r="J329" t="s">
        <v>29</v>
      </c>
      <c r="K329" t="str">
        <f>VLOOKUP(J329,CountryName!$B:$C,2,TRUE)</f>
        <v>North America</v>
      </c>
      <c r="L329" t="s">
        <v>153</v>
      </c>
    </row>
    <row r="330" spans="1:12" x14ac:dyDescent="0.2">
      <c r="A330" s="1">
        <v>2022</v>
      </c>
      <c r="B330" t="str">
        <f>VLOOKUP(C330,References!$A$5:$B$8,2,TRUE)</f>
        <v>Senior Level</v>
      </c>
      <c r="C330" t="s">
        <v>17</v>
      </c>
      <c r="D330" t="s">
        <v>147</v>
      </c>
      <c r="E330" t="str">
        <f>VLOOKUP(F330,References!$D$1:$F$50,3,TRUE)</f>
        <v>Data Analyst</v>
      </c>
      <c r="F330" t="s">
        <v>31</v>
      </c>
      <c r="G330">
        <v>170000</v>
      </c>
      <c r="H330" t="s">
        <v>29</v>
      </c>
      <c r="I330">
        <v>100</v>
      </c>
      <c r="J330" t="s">
        <v>29</v>
      </c>
      <c r="K330" t="str">
        <f>VLOOKUP(J330,CountryName!$B:$C,2,TRUE)</f>
        <v>North America</v>
      </c>
      <c r="L330" t="s">
        <v>153</v>
      </c>
    </row>
    <row r="331" spans="1:12" x14ac:dyDescent="0.2">
      <c r="A331" s="1">
        <v>2022</v>
      </c>
      <c r="B331" t="str">
        <f>VLOOKUP(C331,References!$A$5:$B$8,2,TRUE)</f>
        <v>Mid level</v>
      </c>
      <c r="C331" t="s">
        <v>11</v>
      </c>
      <c r="D331" t="s">
        <v>147</v>
      </c>
      <c r="E331" t="str">
        <f>VLOOKUP(F331,References!$D$1:$F$50,3,TRUE)</f>
        <v>Data Analyst</v>
      </c>
      <c r="F331" t="s">
        <v>31</v>
      </c>
      <c r="G331">
        <v>115500</v>
      </c>
      <c r="H331" t="s">
        <v>29</v>
      </c>
      <c r="I331">
        <v>100</v>
      </c>
      <c r="J331" t="s">
        <v>29</v>
      </c>
      <c r="K331" t="str">
        <f>VLOOKUP(J331,CountryName!$B:$C,2,TRUE)</f>
        <v>North America</v>
      </c>
      <c r="L331" t="s">
        <v>153</v>
      </c>
    </row>
    <row r="332" spans="1:12" x14ac:dyDescent="0.2">
      <c r="A332" s="1">
        <v>2022</v>
      </c>
      <c r="B332" t="str">
        <f>VLOOKUP(C332,References!$A$5:$B$8,2,TRUE)</f>
        <v>Senior Level</v>
      </c>
      <c r="C332" t="s">
        <v>17</v>
      </c>
      <c r="D332" t="s">
        <v>147</v>
      </c>
      <c r="E332" t="str">
        <f>VLOOKUP(F332,References!$D$1:$F$50,3,TRUE)</f>
        <v>Data Analyst</v>
      </c>
      <c r="F332" t="s">
        <v>31</v>
      </c>
      <c r="G332">
        <v>112900</v>
      </c>
      <c r="H332" t="s">
        <v>29</v>
      </c>
      <c r="I332">
        <v>100</v>
      </c>
      <c r="J332" t="s">
        <v>29</v>
      </c>
      <c r="K332" t="str">
        <f>VLOOKUP(J332,CountryName!$B:$C,2,TRUE)</f>
        <v>North America</v>
      </c>
      <c r="L332" t="s">
        <v>153</v>
      </c>
    </row>
    <row r="333" spans="1:12" x14ac:dyDescent="0.2">
      <c r="A333" s="1">
        <v>2022</v>
      </c>
      <c r="B333" t="str">
        <f>VLOOKUP(C333,References!$A$5:$B$8,2,TRUE)</f>
        <v>Senior Level</v>
      </c>
      <c r="C333" t="s">
        <v>17</v>
      </c>
      <c r="D333" t="s">
        <v>147</v>
      </c>
      <c r="E333" t="str">
        <f>VLOOKUP(F333,References!$D$1:$F$50,3,TRUE)</f>
        <v>Data Analyst</v>
      </c>
      <c r="F333" t="s">
        <v>31</v>
      </c>
      <c r="G333">
        <v>90320</v>
      </c>
      <c r="H333" t="s">
        <v>29</v>
      </c>
      <c r="I333">
        <v>100</v>
      </c>
      <c r="J333" t="s">
        <v>29</v>
      </c>
      <c r="K333" t="str">
        <f>VLOOKUP(J333,CountryName!$B:$C,2,TRUE)</f>
        <v>North America</v>
      </c>
      <c r="L333" t="s">
        <v>153</v>
      </c>
    </row>
    <row r="334" spans="1:12" x14ac:dyDescent="0.2">
      <c r="A334" s="1">
        <v>2022</v>
      </c>
      <c r="B334" t="str">
        <f>VLOOKUP(C334,References!$A$5:$B$8,2,TRUE)</f>
        <v>Senior Level</v>
      </c>
      <c r="C334" t="s">
        <v>17</v>
      </c>
      <c r="D334" t="s">
        <v>147</v>
      </c>
      <c r="E334" t="str">
        <f>VLOOKUP(F334,References!$D$1:$F$50,3,TRUE)</f>
        <v>Data Analyst</v>
      </c>
      <c r="F334" t="s">
        <v>31</v>
      </c>
      <c r="G334">
        <v>112900</v>
      </c>
      <c r="H334" t="s">
        <v>29</v>
      </c>
      <c r="I334">
        <v>100</v>
      </c>
      <c r="J334" t="s">
        <v>29</v>
      </c>
      <c r="K334" t="str">
        <f>VLOOKUP(J334,CountryName!$B:$C,2,TRUE)</f>
        <v>North America</v>
      </c>
      <c r="L334" t="s">
        <v>153</v>
      </c>
    </row>
    <row r="335" spans="1:12" x14ac:dyDescent="0.2">
      <c r="A335" s="1">
        <v>2022</v>
      </c>
      <c r="B335" t="str">
        <f>VLOOKUP(C335,References!$A$5:$B$8,2,TRUE)</f>
        <v>Senior Level</v>
      </c>
      <c r="C335" t="s">
        <v>17</v>
      </c>
      <c r="D335" t="s">
        <v>147</v>
      </c>
      <c r="E335" t="str">
        <f>VLOOKUP(F335,References!$D$1:$F$50,3,TRUE)</f>
        <v>Data Analyst</v>
      </c>
      <c r="F335" t="s">
        <v>31</v>
      </c>
      <c r="G335">
        <v>90320</v>
      </c>
      <c r="H335" t="s">
        <v>29</v>
      </c>
      <c r="I335">
        <v>100</v>
      </c>
      <c r="J335" t="s">
        <v>29</v>
      </c>
      <c r="K335" t="str">
        <f>VLOOKUP(J335,CountryName!$B:$C,2,TRUE)</f>
        <v>North America</v>
      </c>
      <c r="L335" t="s">
        <v>153</v>
      </c>
    </row>
    <row r="336" spans="1:12" x14ac:dyDescent="0.2">
      <c r="A336" s="1">
        <v>2022</v>
      </c>
      <c r="B336" t="str">
        <f>VLOOKUP(C336,References!$A$5:$B$8,2,TRUE)</f>
        <v>Senior Level</v>
      </c>
      <c r="C336" t="s">
        <v>17</v>
      </c>
      <c r="D336" t="s">
        <v>147</v>
      </c>
      <c r="E336" t="str">
        <f>VLOOKUP(F336,References!$D$1:$F$50,3,TRUE)</f>
        <v>Data Engineer</v>
      </c>
      <c r="F336" t="s">
        <v>43</v>
      </c>
      <c r="G336">
        <v>165400</v>
      </c>
      <c r="H336" t="s">
        <v>29</v>
      </c>
      <c r="I336">
        <v>100</v>
      </c>
      <c r="J336" t="s">
        <v>29</v>
      </c>
      <c r="K336" t="str">
        <f>VLOOKUP(J336,CountryName!$B:$C,2,TRUE)</f>
        <v>North America</v>
      </c>
      <c r="L336" t="s">
        <v>153</v>
      </c>
    </row>
    <row r="337" spans="1:12" x14ac:dyDescent="0.2">
      <c r="A337" s="1">
        <v>2022</v>
      </c>
      <c r="B337" t="str">
        <f>VLOOKUP(C337,References!$A$5:$B$8,2,TRUE)</f>
        <v>Senior Level</v>
      </c>
      <c r="C337" t="s">
        <v>17</v>
      </c>
      <c r="D337" t="s">
        <v>147</v>
      </c>
      <c r="E337" t="str">
        <f>VLOOKUP(F337,References!$D$1:$F$50,3,TRUE)</f>
        <v>Data Engineer</v>
      </c>
      <c r="F337" t="s">
        <v>43</v>
      </c>
      <c r="G337">
        <v>132320</v>
      </c>
      <c r="H337" t="s">
        <v>29</v>
      </c>
      <c r="I337">
        <v>100</v>
      </c>
      <c r="J337" t="s">
        <v>29</v>
      </c>
      <c r="K337" t="str">
        <f>VLOOKUP(J337,CountryName!$B:$C,2,TRUE)</f>
        <v>North America</v>
      </c>
      <c r="L337" t="s">
        <v>153</v>
      </c>
    </row>
    <row r="338" spans="1:12" x14ac:dyDescent="0.2">
      <c r="A338" s="1">
        <v>2022</v>
      </c>
      <c r="B338" t="str">
        <f>VLOOKUP(C338,References!$A$5:$B$8,2,TRUE)</f>
        <v>Mid level</v>
      </c>
      <c r="C338" t="s">
        <v>11</v>
      </c>
      <c r="D338" t="s">
        <v>147</v>
      </c>
      <c r="E338" t="str">
        <f>VLOOKUP(F338,References!$D$1:$F$50,3,TRUE)</f>
        <v>Data Analyst</v>
      </c>
      <c r="F338" t="s">
        <v>31</v>
      </c>
      <c r="G338">
        <v>167000</v>
      </c>
      <c r="H338" t="s">
        <v>29</v>
      </c>
      <c r="I338">
        <v>100</v>
      </c>
      <c r="J338" t="s">
        <v>29</v>
      </c>
      <c r="K338" t="str">
        <f>VLOOKUP(J338,CountryName!$B:$C,2,TRUE)</f>
        <v>North America</v>
      </c>
      <c r="L338" t="s">
        <v>153</v>
      </c>
    </row>
    <row r="339" spans="1:12" x14ac:dyDescent="0.2">
      <c r="A339" s="1">
        <v>2022</v>
      </c>
      <c r="B339" t="str">
        <f>VLOOKUP(C339,References!$A$5:$B$8,2,TRUE)</f>
        <v>Senior Level</v>
      </c>
      <c r="C339" t="s">
        <v>17</v>
      </c>
      <c r="D339" t="s">
        <v>147</v>
      </c>
      <c r="E339" t="str">
        <f>VLOOKUP(F339,References!$D$1:$F$50,3,TRUE)</f>
        <v>Data Engineer</v>
      </c>
      <c r="F339" t="s">
        <v>43</v>
      </c>
      <c r="G339">
        <v>243900</v>
      </c>
      <c r="H339" t="s">
        <v>29</v>
      </c>
      <c r="I339">
        <v>100</v>
      </c>
      <c r="J339" t="s">
        <v>29</v>
      </c>
      <c r="K339" t="str">
        <f>VLOOKUP(J339,CountryName!$B:$C,2,TRUE)</f>
        <v>North America</v>
      </c>
      <c r="L339" t="s">
        <v>153</v>
      </c>
    </row>
    <row r="340" spans="1:12" x14ac:dyDescent="0.2">
      <c r="A340" s="1">
        <v>2022</v>
      </c>
      <c r="B340" t="str">
        <f>VLOOKUP(C340,References!$A$5:$B$8,2,TRUE)</f>
        <v>Senior Level</v>
      </c>
      <c r="C340" t="s">
        <v>17</v>
      </c>
      <c r="D340" t="s">
        <v>147</v>
      </c>
      <c r="E340" t="str">
        <f>VLOOKUP(F340,References!$D$1:$F$50,3,TRUE)</f>
        <v>Data Analyst</v>
      </c>
      <c r="F340" t="s">
        <v>31</v>
      </c>
      <c r="G340">
        <v>136600</v>
      </c>
      <c r="H340" t="s">
        <v>29</v>
      </c>
      <c r="I340">
        <v>100</v>
      </c>
      <c r="J340" t="s">
        <v>29</v>
      </c>
      <c r="K340" t="str">
        <f>VLOOKUP(J340,CountryName!$B:$C,2,TRUE)</f>
        <v>North America</v>
      </c>
      <c r="L340" t="s">
        <v>153</v>
      </c>
    </row>
    <row r="341" spans="1:12" x14ac:dyDescent="0.2">
      <c r="A341" s="1">
        <v>2022</v>
      </c>
      <c r="B341" t="str">
        <f>VLOOKUP(C341,References!$A$5:$B$8,2,TRUE)</f>
        <v>Senior Level</v>
      </c>
      <c r="C341" t="s">
        <v>17</v>
      </c>
      <c r="D341" t="s">
        <v>147</v>
      </c>
      <c r="E341" t="str">
        <f>VLOOKUP(F341,References!$D$1:$F$50,3,TRUE)</f>
        <v>Data Analyst</v>
      </c>
      <c r="F341" t="s">
        <v>31</v>
      </c>
      <c r="G341">
        <v>109280</v>
      </c>
      <c r="H341" t="s">
        <v>29</v>
      </c>
      <c r="I341">
        <v>100</v>
      </c>
      <c r="J341" t="s">
        <v>29</v>
      </c>
      <c r="K341" t="str">
        <f>VLOOKUP(J341,CountryName!$B:$C,2,TRUE)</f>
        <v>North America</v>
      </c>
      <c r="L341" t="s">
        <v>153</v>
      </c>
    </row>
    <row r="342" spans="1:12" x14ac:dyDescent="0.2">
      <c r="A342" s="1">
        <v>2022</v>
      </c>
      <c r="B342" t="str">
        <f>VLOOKUP(C342,References!$A$5:$B$8,2,TRUE)</f>
        <v>Senior Level</v>
      </c>
      <c r="C342" t="s">
        <v>17</v>
      </c>
      <c r="D342" t="s">
        <v>147</v>
      </c>
      <c r="E342" t="str">
        <f>VLOOKUP(F342,References!$D$1:$F$50,3,TRUE)</f>
        <v>Data Engineer</v>
      </c>
      <c r="F342" t="s">
        <v>43</v>
      </c>
      <c r="G342">
        <v>128875</v>
      </c>
      <c r="H342" t="s">
        <v>29</v>
      </c>
      <c r="I342">
        <v>100</v>
      </c>
      <c r="J342" t="s">
        <v>29</v>
      </c>
      <c r="K342" t="str">
        <f>VLOOKUP(J342,CountryName!$B:$C,2,TRUE)</f>
        <v>North America</v>
      </c>
      <c r="L342" t="s">
        <v>153</v>
      </c>
    </row>
    <row r="343" spans="1:12" x14ac:dyDescent="0.2">
      <c r="A343" s="1">
        <v>2022</v>
      </c>
      <c r="B343" t="str">
        <f>VLOOKUP(C343,References!$A$5:$B$8,2,TRUE)</f>
        <v>Senior Level</v>
      </c>
      <c r="C343" t="s">
        <v>17</v>
      </c>
      <c r="D343" t="s">
        <v>147</v>
      </c>
      <c r="E343" t="str">
        <f>VLOOKUP(F343,References!$D$1:$F$50,3,TRUE)</f>
        <v>Data Engineer</v>
      </c>
      <c r="F343" t="s">
        <v>43</v>
      </c>
      <c r="G343">
        <v>93700</v>
      </c>
      <c r="H343" t="s">
        <v>29</v>
      </c>
      <c r="I343">
        <v>100</v>
      </c>
      <c r="J343" t="s">
        <v>29</v>
      </c>
      <c r="K343" t="str">
        <f>VLOOKUP(J343,CountryName!$B:$C,2,TRUE)</f>
        <v>North America</v>
      </c>
      <c r="L343" t="s">
        <v>153</v>
      </c>
    </row>
    <row r="344" spans="1:12" x14ac:dyDescent="0.2">
      <c r="A344" s="1">
        <v>2022</v>
      </c>
      <c r="B344" t="str">
        <f>VLOOKUP(C344,References!$A$5:$B$8,2,TRUE)</f>
        <v>Expert Level</v>
      </c>
      <c r="C344" t="s">
        <v>53</v>
      </c>
      <c r="D344" t="s">
        <v>147</v>
      </c>
      <c r="E344" t="str">
        <f>VLOOKUP(F344,References!$D$1:$F$50,3,TRUE)</f>
        <v>Manager</v>
      </c>
      <c r="F344" t="s">
        <v>106</v>
      </c>
      <c r="G344">
        <v>224000</v>
      </c>
      <c r="H344" t="s">
        <v>29</v>
      </c>
      <c r="I344">
        <v>100</v>
      </c>
      <c r="J344" t="s">
        <v>29</v>
      </c>
      <c r="K344" t="str">
        <f>VLOOKUP(J344,CountryName!$B:$C,2,TRUE)</f>
        <v>North America</v>
      </c>
      <c r="L344" t="s">
        <v>153</v>
      </c>
    </row>
    <row r="345" spans="1:12" x14ac:dyDescent="0.2">
      <c r="A345" s="1">
        <v>2022</v>
      </c>
      <c r="B345" t="str">
        <f>VLOOKUP(C345,References!$A$5:$B$8,2,TRUE)</f>
        <v>Expert Level</v>
      </c>
      <c r="C345" t="s">
        <v>53</v>
      </c>
      <c r="D345" t="s">
        <v>147</v>
      </c>
      <c r="E345" t="str">
        <f>VLOOKUP(F345,References!$D$1:$F$50,3,TRUE)</f>
        <v>Manager</v>
      </c>
      <c r="F345" t="s">
        <v>106</v>
      </c>
      <c r="G345">
        <v>167875</v>
      </c>
      <c r="H345" t="s">
        <v>29</v>
      </c>
      <c r="I345">
        <v>100</v>
      </c>
      <c r="J345" t="s">
        <v>29</v>
      </c>
      <c r="K345" t="str">
        <f>VLOOKUP(J345,CountryName!$B:$C,2,TRUE)</f>
        <v>North America</v>
      </c>
      <c r="L345" t="s">
        <v>153</v>
      </c>
    </row>
    <row r="346" spans="1:12" x14ac:dyDescent="0.2">
      <c r="A346" s="1">
        <v>2022</v>
      </c>
      <c r="B346" t="str">
        <f>VLOOKUP(C346,References!$A$5:$B$8,2,TRUE)</f>
        <v>Expert Level</v>
      </c>
      <c r="C346" t="s">
        <v>53</v>
      </c>
      <c r="D346" t="s">
        <v>147</v>
      </c>
      <c r="E346" t="str">
        <f>VLOOKUP(F346,References!$D$1:$F$50,3,TRUE)</f>
        <v>Data Engineer</v>
      </c>
      <c r="F346" t="s">
        <v>131</v>
      </c>
      <c r="G346">
        <v>175000</v>
      </c>
      <c r="H346" t="s">
        <v>29</v>
      </c>
      <c r="I346">
        <v>100</v>
      </c>
      <c r="J346" t="s">
        <v>29</v>
      </c>
      <c r="K346" t="str">
        <f>VLOOKUP(J346,CountryName!$B:$C,2,TRUE)</f>
        <v>North America</v>
      </c>
      <c r="L346" t="s">
        <v>153</v>
      </c>
    </row>
    <row r="347" spans="1:12" x14ac:dyDescent="0.2">
      <c r="A347" s="1">
        <v>2022</v>
      </c>
      <c r="B347" t="str">
        <f>VLOOKUP(C347,References!$A$5:$B$8,2,TRUE)</f>
        <v>Senior Level</v>
      </c>
      <c r="C347" t="s">
        <v>17</v>
      </c>
      <c r="D347" t="s">
        <v>147</v>
      </c>
      <c r="E347" t="str">
        <f>VLOOKUP(F347,References!$D$1:$F$50,3,TRUE)</f>
        <v>Data Engineer</v>
      </c>
      <c r="F347" t="s">
        <v>43</v>
      </c>
      <c r="G347">
        <v>156600</v>
      </c>
      <c r="H347" t="s">
        <v>29</v>
      </c>
      <c r="I347">
        <v>100</v>
      </c>
      <c r="J347" t="s">
        <v>29</v>
      </c>
      <c r="K347" t="str">
        <f>VLOOKUP(J347,CountryName!$B:$C,2,TRUE)</f>
        <v>North America</v>
      </c>
      <c r="L347" t="s">
        <v>153</v>
      </c>
    </row>
    <row r="348" spans="1:12" x14ac:dyDescent="0.2">
      <c r="A348" s="1">
        <v>2022</v>
      </c>
      <c r="B348" t="str">
        <f>VLOOKUP(C348,References!$A$5:$B$8,2,TRUE)</f>
        <v>Senior Level</v>
      </c>
      <c r="C348" t="s">
        <v>17</v>
      </c>
      <c r="D348" t="s">
        <v>147</v>
      </c>
      <c r="E348" t="str">
        <f>VLOOKUP(F348,References!$D$1:$F$50,3,TRUE)</f>
        <v>Data Engineer</v>
      </c>
      <c r="F348" t="s">
        <v>43</v>
      </c>
      <c r="G348">
        <v>108800</v>
      </c>
      <c r="H348" t="s">
        <v>29</v>
      </c>
      <c r="I348">
        <v>0</v>
      </c>
      <c r="J348" t="s">
        <v>29</v>
      </c>
      <c r="K348" t="str">
        <f>VLOOKUP(J348,CountryName!$B:$C,2,TRUE)</f>
        <v>North America</v>
      </c>
      <c r="L348" t="s">
        <v>153</v>
      </c>
    </row>
    <row r="349" spans="1:12" x14ac:dyDescent="0.2">
      <c r="A349" s="1">
        <v>2022</v>
      </c>
      <c r="B349" t="str">
        <f>VLOOKUP(C349,References!$A$5:$B$8,2,TRUE)</f>
        <v>Senior Level</v>
      </c>
      <c r="C349" t="s">
        <v>17</v>
      </c>
      <c r="D349" t="s">
        <v>147</v>
      </c>
      <c r="E349" t="str">
        <f>VLOOKUP(F349,References!$D$1:$F$50,3,TRUE)</f>
        <v>Data Scientist</v>
      </c>
      <c r="F349" t="s">
        <v>13</v>
      </c>
      <c r="G349">
        <v>95550</v>
      </c>
      <c r="H349" t="s">
        <v>29</v>
      </c>
      <c r="I349">
        <v>0</v>
      </c>
      <c r="J349" t="s">
        <v>29</v>
      </c>
      <c r="K349" t="str">
        <f>VLOOKUP(J349,CountryName!$B:$C,2,TRUE)</f>
        <v>North America</v>
      </c>
      <c r="L349" t="s">
        <v>153</v>
      </c>
    </row>
    <row r="350" spans="1:12" x14ac:dyDescent="0.2">
      <c r="A350" s="1">
        <v>2022</v>
      </c>
      <c r="B350" t="str">
        <f>VLOOKUP(C350,References!$A$5:$B$8,2,TRUE)</f>
        <v>Senior Level</v>
      </c>
      <c r="C350" t="s">
        <v>17</v>
      </c>
      <c r="D350" t="s">
        <v>147</v>
      </c>
      <c r="E350" t="str">
        <f>VLOOKUP(F350,References!$D$1:$F$50,3,TRUE)</f>
        <v>Data Engineer</v>
      </c>
      <c r="F350" t="s">
        <v>43</v>
      </c>
      <c r="G350">
        <v>113000</v>
      </c>
      <c r="H350" t="s">
        <v>29</v>
      </c>
      <c r="I350">
        <v>0</v>
      </c>
      <c r="J350" t="s">
        <v>29</v>
      </c>
      <c r="K350" t="str">
        <f>VLOOKUP(J350,CountryName!$B:$C,2,TRUE)</f>
        <v>North America</v>
      </c>
      <c r="L350" t="s">
        <v>151</v>
      </c>
    </row>
    <row r="351" spans="1:12" x14ac:dyDescent="0.2">
      <c r="A351" s="1">
        <v>2022</v>
      </c>
      <c r="B351" t="str">
        <f>VLOOKUP(C351,References!$A$5:$B$8,2,TRUE)</f>
        <v>Senior Level</v>
      </c>
      <c r="C351" t="s">
        <v>17</v>
      </c>
      <c r="D351" t="s">
        <v>147</v>
      </c>
      <c r="E351" t="str">
        <f>VLOOKUP(F351,References!$D$1:$F$50,3,TRUE)</f>
        <v>Data Analyst</v>
      </c>
      <c r="F351" t="s">
        <v>31</v>
      </c>
      <c r="G351">
        <v>135000</v>
      </c>
      <c r="H351" t="s">
        <v>29</v>
      </c>
      <c r="I351">
        <v>100</v>
      </c>
      <c r="J351" t="s">
        <v>29</v>
      </c>
      <c r="K351" t="str">
        <f>VLOOKUP(J351,CountryName!$B:$C,2,TRUE)</f>
        <v>North America</v>
      </c>
      <c r="L351" t="s">
        <v>153</v>
      </c>
    </row>
    <row r="352" spans="1:12" x14ac:dyDescent="0.2">
      <c r="A352" s="1">
        <v>2022</v>
      </c>
      <c r="B352" t="str">
        <f>VLOOKUP(C352,References!$A$5:$B$8,2,TRUE)</f>
        <v>Senior Level</v>
      </c>
      <c r="C352" t="s">
        <v>17</v>
      </c>
      <c r="D352" t="s">
        <v>147</v>
      </c>
      <c r="E352" t="str">
        <f>VLOOKUP(F352,References!$D$1:$F$50,3,TRUE)</f>
        <v>Manager</v>
      </c>
      <c r="F352" t="s">
        <v>79</v>
      </c>
      <c r="G352">
        <v>161342</v>
      </c>
      <c r="H352" t="s">
        <v>29</v>
      </c>
      <c r="I352">
        <v>100</v>
      </c>
      <c r="J352" t="s">
        <v>29</v>
      </c>
      <c r="K352" t="str">
        <f>VLOOKUP(J352,CountryName!$B:$C,2,TRUE)</f>
        <v>North America</v>
      </c>
      <c r="L352" t="s">
        <v>153</v>
      </c>
    </row>
    <row r="353" spans="1:12" x14ac:dyDescent="0.2">
      <c r="A353" s="1">
        <v>2022</v>
      </c>
      <c r="B353" t="str">
        <f>VLOOKUP(C353,References!$A$5:$B$8,2,TRUE)</f>
        <v>Senior Level</v>
      </c>
      <c r="C353" t="s">
        <v>17</v>
      </c>
      <c r="D353" t="s">
        <v>147</v>
      </c>
      <c r="E353" t="str">
        <f>VLOOKUP(F353,References!$D$1:$F$50,3,TRUE)</f>
        <v>Manager</v>
      </c>
      <c r="F353" t="s">
        <v>79</v>
      </c>
      <c r="G353">
        <v>137141</v>
      </c>
      <c r="H353" t="s">
        <v>29</v>
      </c>
      <c r="I353">
        <v>100</v>
      </c>
      <c r="J353" t="s">
        <v>29</v>
      </c>
      <c r="K353" t="str">
        <f>VLOOKUP(J353,CountryName!$B:$C,2,TRUE)</f>
        <v>North America</v>
      </c>
      <c r="L353" t="s">
        <v>153</v>
      </c>
    </row>
    <row r="354" spans="1:12" x14ac:dyDescent="0.2">
      <c r="A354" s="1">
        <v>2022</v>
      </c>
      <c r="B354" t="str">
        <f>VLOOKUP(C354,References!$A$5:$B$8,2,TRUE)</f>
        <v>Senior Level</v>
      </c>
      <c r="C354" t="s">
        <v>17</v>
      </c>
      <c r="D354" t="s">
        <v>147</v>
      </c>
      <c r="E354" t="str">
        <f>VLOOKUP(F354,References!$D$1:$F$50,3,TRUE)</f>
        <v>Data Scientist</v>
      </c>
      <c r="F354" t="s">
        <v>13</v>
      </c>
      <c r="G354">
        <v>167000</v>
      </c>
      <c r="H354" t="s">
        <v>29</v>
      </c>
      <c r="I354">
        <v>100</v>
      </c>
      <c r="J354" t="s">
        <v>29</v>
      </c>
      <c r="K354" t="str">
        <f>VLOOKUP(J354,CountryName!$B:$C,2,TRUE)</f>
        <v>North America</v>
      </c>
      <c r="L354" t="s">
        <v>153</v>
      </c>
    </row>
    <row r="355" spans="1:12" x14ac:dyDescent="0.2">
      <c r="A355" s="1">
        <v>2022</v>
      </c>
      <c r="B355" t="str">
        <f>VLOOKUP(C355,References!$A$5:$B$8,2,TRUE)</f>
        <v>Senior Level</v>
      </c>
      <c r="C355" t="s">
        <v>17</v>
      </c>
      <c r="D355" t="s">
        <v>147</v>
      </c>
      <c r="E355" t="str">
        <f>VLOOKUP(F355,References!$D$1:$F$50,3,TRUE)</f>
        <v>Data Scientist</v>
      </c>
      <c r="F355" t="s">
        <v>13</v>
      </c>
      <c r="G355">
        <v>123000</v>
      </c>
      <c r="H355" t="s">
        <v>29</v>
      </c>
      <c r="I355">
        <v>100</v>
      </c>
      <c r="J355" t="s">
        <v>29</v>
      </c>
      <c r="K355" t="str">
        <f>VLOOKUP(J355,CountryName!$B:$C,2,TRUE)</f>
        <v>North America</v>
      </c>
      <c r="L355" t="s">
        <v>153</v>
      </c>
    </row>
    <row r="356" spans="1:12" x14ac:dyDescent="0.2">
      <c r="A356" s="1">
        <v>2022</v>
      </c>
      <c r="B356" t="str">
        <f>VLOOKUP(C356,References!$A$5:$B$8,2,TRUE)</f>
        <v>Senior Level</v>
      </c>
      <c r="C356" t="s">
        <v>17</v>
      </c>
      <c r="D356" t="s">
        <v>147</v>
      </c>
      <c r="E356" t="str">
        <f>VLOOKUP(F356,References!$D$1:$F$50,3,TRUE)</f>
        <v>Data Engineer</v>
      </c>
      <c r="F356" t="s">
        <v>43</v>
      </c>
      <c r="G356">
        <v>78526</v>
      </c>
      <c r="H356" t="s">
        <v>24</v>
      </c>
      <c r="I356">
        <v>0</v>
      </c>
      <c r="J356" t="s">
        <v>24</v>
      </c>
      <c r="K356" t="str">
        <f>VLOOKUP(J356,CountryName!$B:$C,2,TRUE)</f>
        <v>Europe</v>
      </c>
      <c r="L356" t="s">
        <v>153</v>
      </c>
    </row>
    <row r="357" spans="1:12" x14ac:dyDescent="0.2">
      <c r="A357" s="1">
        <v>2022</v>
      </c>
      <c r="B357" t="str">
        <f>VLOOKUP(C357,References!$A$5:$B$8,2,TRUE)</f>
        <v>Senior Level</v>
      </c>
      <c r="C357" t="s">
        <v>17</v>
      </c>
      <c r="D357" t="s">
        <v>147</v>
      </c>
      <c r="E357" t="str">
        <f>VLOOKUP(F357,References!$D$1:$F$50,3,TRUE)</f>
        <v>Data Engineer</v>
      </c>
      <c r="F357" t="s">
        <v>43</v>
      </c>
      <c r="G357">
        <v>65438</v>
      </c>
      <c r="H357" t="s">
        <v>24</v>
      </c>
      <c r="I357">
        <v>0</v>
      </c>
      <c r="J357" t="s">
        <v>24</v>
      </c>
      <c r="K357" t="str">
        <f>VLOOKUP(J357,CountryName!$B:$C,2,TRUE)</f>
        <v>Europe</v>
      </c>
      <c r="L357" t="s">
        <v>153</v>
      </c>
    </row>
    <row r="358" spans="1:12" x14ac:dyDescent="0.2">
      <c r="A358" s="1">
        <v>2022</v>
      </c>
      <c r="B358" t="str">
        <f>VLOOKUP(C358,References!$A$5:$B$8,2,TRUE)</f>
        <v>Senior Level</v>
      </c>
      <c r="C358" t="s">
        <v>17</v>
      </c>
      <c r="D358" t="s">
        <v>147</v>
      </c>
      <c r="E358" t="str">
        <f>VLOOKUP(F358,References!$D$1:$F$50,3,TRUE)</f>
        <v>Data Scientist</v>
      </c>
      <c r="F358" t="s">
        <v>13</v>
      </c>
      <c r="G358">
        <v>150000</v>
      </c>
      <c r="H358" t="s">
        <v>29</v>
      </c>
      <c r="I358">
        <v>0</v>
      </c>
      <c r="J358" t="s">
        <v>29</v>
      </c>
      <c r="K358" t="str">
        <f>VLOOKUP(J358,CountryName!$B:$C,2,TRUE)</f>
        <v>North America</v>
      </c>
      <c r="L358" t="s">
        <v>153</v>
      </c>
    </row>
    <row r="359" spans="1:12" x14ac:dyDescent="0.2">
      <c r="A359" s="1">
        <v>2022</v>
      </c>
      <c r="B359" t="str">
        <f>VLOOKUP(C359,References!$A$5:$B$8,2,TRUE)</f>
        <v>Senior Level</v>
      </c>
      <c r="C359" t="s">
        <v>17</v>
      </c>
      <c r="D359" t="s">
        <v>147</v>
      </c>
      <c r="E359" t="str">
        <f>VLOOKUP(F359,References!$D$1:$F$50,3,TRUE)</f>
        <v>Data Scientist</v>
      </c>
      <c r="F359" t="s">
        <v>13</v>
      </c>
      <c r="G359">
        <v>211500</v>
      </c>
      <c r="H359" t="s">
        <v>29</v>
      </c>
      <c r="I359">
        <v>100</v>
      </c>
      <c r="J359" t="s">
        <v>29</v>
      </c>
      <c r="K359" t="str">
        <f>VLOOKUP(J359,CountryName!$B:$C,2,TRUE)</f>
        <v>North America</v>
      </c>
      <c r="L359" t="s">
        <v>153</v>
      </c>
    </row>
    <row r="360" spans="1:12" x14ac:dyDescent="0.2">
      <c r="A360" s="1">
        <v>2022</v>
      </c>
      <c r="B360" t="str">
        <f>VLOOKUP(C360,References!$A$5:$B$8,2,TRUE)</f>
        <v>Senior Level</v>
      </c>
      <c r="C360" t="s">
        <v>17</v>
      </c>
      <c r="D360" t="s">
        <v>147</v>
      </c>
      <c r="E360" t="str">
        <f>VLOOKUP(F360,References!$D$1:$F$50,3,TRUE)</f>
        <v>Data Engineer</v>
      </c>
      <c r="F360" t="s">
        <v>109</v>
      </c>
      <c r="G360">
        <v>192400</v>
      </c>
      <c r="H360" t="s">
        <v>62</v>
      </c>
      <c r="I360">
        <v>100</v>
      </c>
      <c r="J360" t="s">
        <v>62</v>
      </c>
      <c r="K360" t="str">
        <f>VLOOKUP(J360,CountryName!$B:$C,2,TRUE)</f>
        <v>North America</v>
      </c>
      <c r="L360" t="s">
        <v>153</v>
      </c>
    </row>
    <row r="361" spans="1:12" x14ac:dyDescent="0.2">
      <c r="A361" s="1">
        <v>2022</v>
      </c>
      <c r="B361" t="str">
        <f>VLOOKUP(C361,References!$A$5:$B$8,2,TRUE)</f>
        <v>Senior Level</v>
      </c>
      <c r="C361" t="s">
        <v>17</v>
      </c>
      <c r="D361" t="s">
        <v>147</v>
      </c>
      <c r="E361" t="str">
        <f>VLOOKUP(F361,References!$D$1:$F$50,3,TRUE)</f>
        <v>Data Engineer</v>
      </c>
      <c r="F361" t="s">
        <v>109</v>
      </c>
      <c r="G361">
        <v>90700</v>
      </c>
      <c r="H361" t="s">
        <v>62</v>
      </c>
      <c r="I361">
        <v>100</v>
      </c>
      <c r="J361" t="s">
        <v>62</v>
      </c>
      <c r="K361" t="str">
        <f>VLOOKUP(J361,CountryName!$B:$C,2,TRUE)</f>
        <v>North America</v>
      </c>
      <c r="L361" t="s">
        <v>153</v>
      </c>
    </row>
    <row r="362" spans="1:12" x14ac:dyDescent="0.2">
      <c r="A362" s="1">
        <v>2022</v>
      </c>
      <c r="B362" t="str">
        <f>VLOOKUP(C362,References!$A$5:$B$8,2,TRUE)</f>
        <v>Senior Level</v>
      </c>
      <c r="C362" t="s">
        <v>17</v>
      </c>
      <c r="D362" t="s">
        <v>147</v>
      </c>
      <c r="E362" t="str">
        <f>VLOOKUP(F362,References!$D$1:$F$50,3,TRUE)</f>
        <v>Data Analyst</v>
      </c>
      <c r="F362" t="s">
        <v>31</v>
      </c>
      <c r="G362">
        <v>130000</v>
      </c>
      <c r="H362" t="s">
        <v>62</v>
      </c>
      <c r="I362">
        <v>100</v>
      </c>
      <c r="J362" t="s">
        <v>62</v>
      </c>
      <c r="K362" t="str">
        <f>VLOOKUP(J362,CountryName!$B:$C,2,TRUE)</f>
        <v>North America</v>
      </c>
      <c r="L362" t="s">
        <v>153</v>
      </c>
    </row>
    <row r="363" spans="1:12" x14ac:dyDescent="0.2">
      <c r="A363" s="1">
        <v>2022</v>
      </c>
      <c r="B363" t="str">
        <f>VLOOKUP(C363,References!$A$5:$B$8,2,TRUE)</f>
        <v>Senior Level</v>
      </c>
      <c r="C363" t="s">
        <v>17</v>
      </c>
      <c r="D363" t="s">
        <v>147</v>
      </c>
      <c r="E363" t="str">
        <f>VLOOKUP(F363,References!$D$1:$F$50,3,TRUE)</f>
        <v>Data Analyst</v>
      </c>
      <c r="F363" t="s">
        <v>31</v>
      </c>
      <c r="G363">
        <v>61300</v>
      </c>
      <c r="H363" t="s">
        <v>62</v>
      </c>
      <c r="I363">
        <v>100</v>
      </c>
      <c r="J363" t="s">
        <v>62</v>
      </c>
      <c r="K363" t="str">
        <f>VLOOKUP(J363,CountryName!$B:$C,2,TRUE)</f>
        <v>North America</v>
      </c>
      <c r="L363" t="s">
        <v>153</v>
      </c>
    </row>
    <row r="364" spans="1:12" x14ac:dyDescent="0.2">
      <c r="A364" s="1">
        <v>2022</v>
      </c>
      <c r="B364" t="str">
        <f>VLOOKUP(C364,References!$A$5:$B$8,2,TRUE)</f>
        <v>Senior Level</v>
      </c>
      <c r="C364" t="s">
        <v>17</v>
      </c>
      <c r="D364" t="s">
        <v>147</v>
      </c>
      <c r="E364" t="str">
        <f>VLOOKUP(F364,References!$D$1:$F$50,3,TRUE)</f>
        <v>Data Analyst</v>
      </c>
      <c r="F364" t="s">
        <v>31</v>
      </c>
      <c r="G364">
        <v>130000</v>
      </c>
      <c r="H364" t="s">
        <v>62</v>
      </c>
      <c r="I364">
        <v>100</v>
      </c>
      <c r="J364" t="s">
        <v>62</v>
      </c>
      <c r="K364" t="str">
        <f>VLOOKUP(J364,CountryName!$B:$C,2,TRUE)</f>
        <v>North America</v>
      </c>
      <c r="L364" t="s">
        <v>153</v>
      </c>
    </row>
    <row r="365" spans="1:12" x14ac:dyDescent="0.2">
      <c r="A365" s="1">
        <v>2022</v>
      </c>
      <c r="B365" t="str">
        <f>VLOOKUP(C365,References!$A$5:$B$8,2,TRUE)</f>
        <v>Senior Level</v>
      </c>
      <c r="C365" t="s">
        <v>17</v>
      </c>
      <c r="D365" t="s">
        <v>147</v>
      </c>
      <c r="E365" t="str">
        <f>VLOOKUP(F365,References!$D$1:$F$50,3,TRUE)</f>
        <v>Data Analyst</v>
      </c>
      <c r="F365" t="s">
        <v>31</v>
      </c>
      <c r="G365">
        <v>61300</v>
      </c>
      <c r="H365" t="s">
        <v>62</v>
      </c>
      <c r="I365">
        <v>100</v>
      </c>
      <c r="J365" t="s">
        <v>62</v>
      </c>
      <c r="K365" t="str">
        <f>VLOOKUP(J365,CountryName!$B:$C,2,TRUE)</f>
        <v>North America</v>
      </c>
      <c r="L365" t="s">
        <v>153</v>
      </c>
    </row>
    <row r="366" spans="1:12" x14ac:dyDescent="0.2">
      <c r="A366" s="1">
        <v>2022</v>
      </c>
      <c r="B366" t="str">
        <f>VLOOKUP(C366,References!$A$5:$B$8,2,TRUE)</f>
        <v>Senior Level</v>
      </c>
      <c r="C366" t="s">
        <v>17</v>
      </c>
      <c r="D366" t="s">
        <v>147</v>
      </c>
      <c r="E366" t="str">
        <f>VLOOKUP(F366,References!$D$1:$F$50,3,TRUE)</f>
        <v>Data Engineer</v>
      </c>
      <c r="F366" t="s">
        <v>43</v>
      </c>
      <c r="G366">
        <v>160000</v>
      </c>
      <c r="H366" t="s">
        <v>29</v>
      </c>
      <c r="I366">
        <v>0</v>
      </c>
      <c r="J366" t="s">
        <v>29</v>
      </c>
      <c r="K366" t="str">
        <f>VLOOKUP(J366,CountryName!$B:$C,2,TRUE)</f>
        <v>North America</v>
      </c>
      <c r="L366" t="s">
        <v>151</v>
      </c>
    </row>
    <row r="367" spans="1:12" x14ac:dyDescent="0.2">
      <c r="A367" s="1">
        <v>2022</v>
      </c>
      <c r="B367" t="str">
        <f>VLOOKUP(C367,References!$A$5:$B$8,2,TRUE)</f>
        <v>Senior Level</v>
      </c>
      <c r="C367" t="s">
        <v>17</v>
      </c>
      <c r="D367" t="s">
        <v>147</v>
      </c>
      <c r="E367" t="str">
        <f>VLOOKUP(F367,References!$D$1:$F$50,3,TRUE)</f>
        <v>Data Scientist</v>
      </c>
      <c r="F367" t="s">
        <v>13</v>
      </c>
      <c r="G367">
        <v>138600</v>
      </c>
      <c r="H367" t="s">
        <v>29</v>
      </c>
      <c r="I367">
        <v>100</v>
      </c>
      <c r="J367" t="s">
        <v>29</v>
      </c>
      <c r="K367" t="str">
        <f>VLOOKUP(J367,CountryName!$B:$C,2,TRUE)</f>
        <v>North America</v>
      </c>
      <c r="L367" t="s">
        <v>153</v>
      </c>
    </row>
    <row r="368" spans="1:12" x14ac:dyDescent="0.2">
      <c r="A368" s="1">
        <v>2022</v>
      </c>
      <c r="B368" t="str">
        <f>VLOOKUP(C368,References!$A$5:$B$8,2,TRUE)</f>
        <v>Senior Level</v>
      </c>
      <c r="C368" t="s">
        <v>17</v>
      </c>
      <c r="D368" t="s">
        <v>147</v>
      </c>
      <c r="E368" t="str">
        <f>VLOOKUP(F368,References!$D$1:$F$50,3,TRUE)</f>
        <v>Data Engineer</v>
      </c>
      <c r="F368" t="s">
        <v>43</v>
      </c>
      <c r="G368">
        <v>136000</v>
      </c>
      <c r="H368" t="s">
        <v>29</v>
      </c>
      <c r="I368">
        <v>0</v>
      </c>
      <c r="J368" t="s">
        <v>29</v>
      </c>
      <c r="K368" t="str">
        <f>VLOOKUP(J368,CountryName!$B:$C,2,TRUE)</f>
        <v>North America</v>
      </c>
      <c r="L368" t="s">
        <v>153</v>
      </c>
    </row>
    <row r="369" spans="1:12" x14ac:dyDescent="0.2">
      <c r="A369" s="1">
        <v>2022</v>
      </c>
      <c r="B369" t="str">
        <f>VLOOKUP(C369,References!$A$5:$B$8,2,TRUE)</f>
        <v>Mid level</v>
      </c>
      <c r="C369" t="s">
        <v>11</v>
      </c>
      <c r="D369" t="s">
        <v>147</v>
      </c>
      <c r="E369" t="str">
        <f>VLOOKUP(F369,References!$D$1:$F$50,3,TRUE)</f>
        <v>Data Analyst</v>
      </c>
      <c r="F369" t="s">
        <v>31</v>
      </c>
      <c r="G369">
        <v>58000</v>
      </c>
      <c r="H369" t="s">
        <v>29</v>
      </c>
      <c r="I369">
        <v>0</v>
      </c>
      <c r="J369" t="s">
        <v>29</v>
      </c>
      <c r="K369" t="str">
        <f>VLOOKUP(J369,CountryName!$B:$C,2,TRUE)</f>
        <v>North America</v>
      </c>
      <c r="L369" t="s">
        <v>152</v>
      </c>
    </row>
    <row r="370" spans="1:12" x14ac:dyDescent="0.2">
      <c r="A370" s="1">
        <v>2022</v>
      </c>
      <c r="B370" t="str">
        <f>VLOOKUP(C370,References!$A$5:$B$8,2,TRUE)</f>
        <v>Expert Level</v>
      </c>
      <c r="C370" t="s">
        <v>53</v>
      </c>
      <c r="D370" t="s">
        <v>147</v>
      </c>
      <c r="E370" t="str">
        <f>VLOOKUP(F370,References!$D$1:$F$50,3,TRUE)</f>
        <v>Data Engineer</v>
      </c>
      <c r="F370" t="s">
        <v>131</v>
      </c>
      <c r="G370">
        <v>135000</v>
      </c>
      <c r="H370" t="s">
        <v>29</v>
      </c>
      <c r="I370">
        <v>100</v>
      </c>
      <c r="J370" t="s">
        <v>29</v>
      </c>
      <c r="K370" t="str">
        <f>VLOOKUP(J370,CountryName!$B:$C,2,TRUE)</f>
        <v>North America</v>
      </c>
      <c r="L370" t="s">
        <v>153</v>
      </c>
    </row>
    <row r="371" spans="1:12" x14ac:dyDescent="0.2">
      <c r="A371" s="1">
        <v>2022</v>
      </c>
      <c r="B371" t="str">
        <f>VLOOKUP(C371,References!$A$5:$B$8,2,TRUE)</f>
        <v>Senior Level</v>
      </c>
      <c r="C371" t="s">
        <v>17</v>
      </c>
      <c r="D371" t="s">
        <v>147</v>
      </c>
      <c r="E371" t="str">
        <f>VLOOKUP(F371,References!$D$1:$F$50,3,TRUE)</f>
        <v>Data Scientist</v>
      </c>
      <c r="F371" t="s">
        <v>13</v>
      </c>
      <c r="G371">
        <v>170000</v>
      </c>
      <c r="H371" t="s">
        <v>29</v>
      </c>
      <c r="I371">
        <v>100</v>
      </c>
      <c r="J371" t="s">
        <v>29</v>
      </c>
      <c r="K371" t="str">
        <f>VLOOKUP(J371,CountryName!$B:$C,2,TRUE)</f>
        <v>North America</v>
      </c>
      <c r="L371" t="s">
        <v>153</v>
      </c>
    </row>
    <row r="372" spans="1:12" x14ac:dyDescent="0.2">
      <c r="A372" s="1">
        <v>2022</v>
      </c>
      <c r="B372" t="str">
        <f>VLOOKUP(C372,References!$A$5:$B$8,2,TRUE)</f>
        <v>Senior Level</v>
      </c>
      <c r="C372" t="s">
        <v>17</v>
      </c>
      <c r="D372" t="s">
        <v>147</v>
      </c>
      <c r="E372" t="str">
        <f>VLOOKUP(F372,References!$D$1:$F$50,3,TRUE)</f>
        <v>Data Scientist</v>
      </c>
      <c r="F372" t="s">
        <v>13</v>
      </c>
      <c r="G372">
        <v>123000</v>
      </c>
      <c r="H372" t="s">
        <v>29</v>
      </c>
      <c r="I372">
        <v>100</v>
      </c>
      <c r="J372" t="s">
        <v>29</v>
      </c>
      <c r="K372" t="str">
        <f>VLOOKUP(J372,CountryName!$B:$C,2,TRUE)</f>
        <v>North America</v>
      </c>
      <c r="L372" t="s">
        <v>153</v>
      </c>
    </row>
    <row r="373" spans="1:12" x14ac:dyDescent="0.2">
      <c r="A373" s="1">
        <v>2022</v>
      </c>
      <c r="B373" t="str">
        <f>VLOOKUP(C373,References!$A$5:$B$8,2,TRUE)</f>
        <v>Senior Level</v>
      </c>
      <c r="C373" t="s">
        <v>17</v>
      </c>
      <c r="D373" t="s">
        <v>147</v>
      </c>
      <c r="E373" t="str">
        <f>VLOOKUP(F373,References!$D$1:$F$50,3,TRUE)</f>
        <v>Machine Learning</v>
      </c>
      <c r="F373" t="s">
        <v>28</v>
      </c>
      <c r="G373">
        <v>189650</v>
      </c>
      <c r="H373" t="s">
        <v>29</v>
      </c>
      <c r="I373">
        <v>0</v>
      </c>
      <c r="J373" t="s">
        <v>29</v>
      </c>
      <c r="K373" t="str">
        <f>VLOOKUP(J373,CountryName!$B:$C,2,TRUE)</f>
        <v>North America</v>
      </c>
      <c r="L373" t="s">
        <v>153</v>
      </c>
    </row>
    <row r="374" spans="1:12" x14ac:dyDescent="0.2">
      <c r="A374" s="1">
        <v>2022</v>
      </c>
      <c r="B374" t="str">
        <f>VLOOKUP(C374,References!$A$5:$B$8,2,TRUE)</f>
        <v>Senior Level</v>
      </c>
      <c r="C374" t="s">
        <v>17</v>
      </c>
      <c r="D374" t="s">
        <v>147</v>
      </c>
      <c r="E374" t="str">
        <f>VLOOKUP(F374,References!$D$1:$F$50,3,TRUE)</f>
        <v>Machine Learning</v>
      </c>
      <c r="F374" t="s">
        <v>28</v>
      </c>
      <c r="G374">
        <v>164996</v>
      </c>
      <c r="H374" t="s">
        <v>29</v>
      </c>
      <c r="I374">
        <v>0</v>
      </c>
      <c r="J374" t="s">
        <v>29</v>
      </c>
      <c r="K374" t="str">
        <f>VLOOKUP(J374,CountryName!$B:$C,2,TRUE)</f>
        <v>North America</v>
      </c>
      <c r="L374" t="s">
        <v>153</v>
      </c>
    </row>
    <row r="375" spans="1:12" x14ac:dyDescent="0.2">
      <c r="A375" s="1">
        <v>2022</v>
      </c>
      <c r="B375" t="str">
        <f>VLOOKUP(C375,References!$A$5:$B$8,2,TRUE)</f>
        <v>Mid level</v>
      </c>
      <c r="C375" t="s">
        <v>11</v>
      </c>
      <c r="D375" t="s">
        <v>147</v>
      </c>
      <c r="E375" t="str">
        <f>VLOOKUP(F375,References!$D$1:$F$50,3,TRUE)</f>
        <v>Data Engineer</v>
      </c>
      <c r="F375" t="s">
        <v>132</v>
      </c>
      <c r="G375">
        <v>54957</v>
      </c>
      <c r="H375" t="s">
        <v>50</v>
      </c>
      <c r="I375">
        <v>0</v>
      </c>
      <c r="J375" t="s">
        <v>50</v>
      </c>
      <c r="K375" t="str">
        <f>VLOOKUP(J375,CountryName!$B:$C,2,TRUE)</f>
        <v>Europe</v>
      </c>
      <c r="L375" t="s">
        <v>153</v>
      </c>
    </row>
    <row r="376" spans="1:12" x14ac:dyDescent="0.2">
      <c r="A376" s="1">
        <v>2022</v>
      </c>
      <c r="B376" t="str">
        <f>VLOOKUP(C376,References!$A$5:$B$8,2,TRUE)</f>
        <v>Mid level</v>
      </c>
      <c r="C376" t="s">
        <v>11</v>
      </c>
      <c r="D376" t="s">
        <v>147</v>
      </c>
      <c r="E376" t="str">
        <f>VLOOKUP(F376,References!$D$1:$F$50,3,TRUE)</f>
        <v>Data Engineer</v>
      </c>
      <c r="F376" t="s">
        <v>132</v>
      </c>
      <c r="G376">
        <v>54957</v>
      </c>
      <c r="H376" t="s">
        <v>50</v>
      </c>
      <c r="I376">
        <v>0</v>
      </c>
      <c r="J376" t="s">
        <v>50</v>
      </c>
      <c r="K376" t="str">
        <f>VLOOKUP(J376,CountryName!$B:$C,2,TRUE)</f>
        <v>Europe</v>
      </c>
      <c r="L376" t="s">
        <v>153</v>
      </c>
    </row>
    <row r="377" spans="1:12" x14ac:dyDescent="0.2">
      <c r="A377" s="1">
        <v>2022</v>
      </c>
      <c r="B377" t="str">
        <f>VLOOKUP(C377,References!$A$5:$B$8,2,TRUE)</f>
        <v>Expert Level</v>
      </c>
      <c r="C377" t="s">
        <v>53</v>
      </c>
      <c r="D377" t="s">
        <v>147</v>
      </c>
      <c r="E377" t="str">
        <f>VLOOKUP(F377,References!$D$1:$F$50,3,TRUE)</f>
        <v>Manager</v>
      </c>
      <c r="F377" t="s">
        <v>36</v>
      </c>
      <c r="G377">
        <v>118187</v>
      </c>
      <c r="H377" t="s">
        <v>62</v>
      </c>
      <c r="I377">
        <v>100</v>
      </c>
      <c r="J377" t="s">
        <v>62</v>
      </c>
      <c r="K377" t="str">
        <f>VLOOKUP(J377,CountryName!$B:$C,2,TRUE)</f>
        <v>North America</v>
      </c>
      <c r="L377" t="s">
        <v>152</v>
      </c>
    </row>
    <row r="378" spans="1:12" x14ac:dyDescent="0.2">
      <c r="A378" s="1">
        <v>2022</v>
      </c>
      <c r="B378" t="str">
        <f>VLOOKUP(C378,References!$A$5:$B$8,2,TRUE)</f>
        <v>Senior Level</v>
      </c>
      <c r="C378" t="s">
        <v>17</v>
      </c>
      <c r="D378" t="s">
        <v>147</v>
      </c>
      <c r="E378" t="str">
        <f>VLOOKUP(F378,References!$D$1:$F$50,3,TRUE)</f>
        <v>Data Analyst</v>
      </c>
      <c r="F378" t="s">
        <v>31</v>
      </c>
      <c r="G378">
        <v>132000</v>
      </c>
      <c r="H378" t="s">
        <v>29</v>
      </c>
      <c r="I378">
        <v>0</v>
      </c>
      <c r="J378" t="s">
        <v>29</v>
      </c>
      <c r="K378" t="str">
        <f>VLOOKUP(J378,CountryName!$B:$C,2,TRUE)</f>
        <v>North America</v>
      </c>
      <c r="L378" t="s">
        <v>153</v>
      </c>
    </row>
    <row r="379" spans="1:12" x14ac:dyDescent="0.2">
      <c r="A379" s="1">
        <v>2022</v>
      </c>
      <c r="B379" t="str">
        <f>VLOOKUP(C379,References!$A$5:$B$8,2,TRUE)</f>
        <v>Senior Level</v>
      </c>
      <c r="C379" t="s">
        <v>17</v>
      </c>
      <c r="D379" t="s">
        <v>147</v>
      </c>
      <c r="E379" t="str">
        <f>VLOOKUP(F379,References!$D$1:$F$50,3,TRUE)</f>
        <v>Data Engineer</v>
      </c>
      <c r="F379" t="s">
        <v>43</v>
      </c>
      <c r="G379">
        <v>165400</v>
      </c>
      <c r="H379" t="s">
        <v>29</v>
      </c>
      <c r="I379">
        <v>100</v>
      </c>
      <c r="J379" t="s">
        <v>29</v>
      </c>
      <c r="K379" t="str">
        <f>VLOOKUP(J379,CountryName!$B:$C,2,TRUE)</f>
        <v>North America</v>
      </c>
      <c r="L379" t="s">
        <v>153</v>
      </c>
    </row>
    <row r="380" spans="1:12" x14ac:dyDescent="0.2">
      <c r="A380" s="1">
        <v>2022</v>
      </c>
      <c r="B380" t="str">
        <f>VLOOKUP(C380,References!$A$5:$B$8,2,TRUE)</f>
        <v>Senior Level</v>
      </c>
      <c r="C380" t="s">
        <v>17</v>
      </c>
      <c r="D380" t="s">
        <v>147</v>
      </c>
      <c r="E380" t="str">
        <f>VLOOKUP(F380,References!$D$1:$F$50,3,TRUE)</f>
        <v>Data Engineer</v>
      </c>
      <c r="F380" t="s">
        <v>109</v>
      </c>
      <c r="G380">
        <v>208775</v>
      </c>
      <c r="H380" t="s">
        <v>29</v>
      </c>
      <c r="I380">
        <v>100</v>
      </c>
      <c r="J380" t="s">
        <v>29</v>
      </c>
      <c r="K380" t="str">
        <f>VLOOKUP(J380,CountryName!$B:$C,2,TRUE)</f>
        <v>North America</v>
      </c>
      <c r="L380" t="s">
        <v>153</v>
      </c>
    </row>
    <row r="381" spans="1:12" x14ac:dyDescent="0.2">
      <c r="A381" s="1">
        <v>2022</v>
      </c>
      <c r="B381" t="str">
        <f>VLOOKUP(C381,References!$A$5:$B$8,2,TRUE)</f>
        <v>Senior Level</v>
      </c>
      <c r="C381" t="s">
        <v>17</v>
      </c>
      <c r="D381" t="s">
        <v>147</v>
      </c>
      <c r="E381" t="str">
        <f>VLOOKUP(F381,References!$D$1:$F$50,3,TRUE)</f>
        <v>Data Engineer</v>
      </c>
      <c r="F381" t="s">
        <v>109</v>
      </c>
      <c r="G381">
        <v>147800</v>
      </c>
      <c r="H381" t="s">
        <v>29</v>
      </c>
      <c r="I381">
        <v>100</v>
      </c>
      <c r="J381" t="s">
        <v>29</v>
      </c>
      <c r="K381" t="str">
        <f>VLOOKUP(J381,CountryName!$B:$C,2,TRUE)</f>
        <v>North America</v>
      </c>
      <c r="L381" t="s">
        <v>153</v>
      </c>
    </row>
    <row r="382" spans="1:12" x14ac:dyDescent="0.2">
      <c r="A382" s="1">
        <v>2022</v>
      </c>
      <c r="B382" t="str">
        <f>VLOOKUP(C382,References!$A$5:$B$8,2,TRUE)</f>
        <v>Senior Level</v>
      </c>
      <c r="C382" t="s">
        <v>17</v>
      </c>
      <c r="D382" t="s">
        <v>147</v>
      </c>
      <c r="E382" t="str">
        <f>VLOOKUP(F382,References!$D$1:$F$50,3,TRUE)</f>
        <v>Data Engineer</v>
      </c>
      <c r="F382" t="s">
        <v>43</v>
      </c>
      <c r="G382">
        <v>136994</v>
      </c>
      <c r="H382" t="s">
        <v>29</v>
      </c>
      <c r="I382">
        <v>100</v>
      </c>
      <c r="J382" t="s">
        <v>29</v>
      </c>
      <c r="K382" t="str">
        <f>VLOOKUP(J382,CountryName!$B:$C,2,TRUE)</f>
        <v>North America</v>
      </c>
      <c r="L382" t="s">
        <v>153</v>
      </c>
    </row>
    <row r="383" spans="1:12" x14ac:dyDescent="0.2">
      <c r="A383" s="1">
        <v>2022</v>
      </c>
      <c r="B383" t="str">
        <f>VLOOKUP(C383,References!$A$5:$B$8,2,TRUE)</f>
        <v>Senior Level</v>
      </c>
      <c r="C383" t="s">
        <v>17</v>
      </c>
      <c r="D383" t="s">
        <v>147</v>
      </c>
      <c r="E383" t="str">
        <f>VLOOKUP(F383,References!$D$1:$F$50,3,TRUE)</f>
        <v>Data Engineer</v>
      </c>
      <c r="F383" t="s">
        <v>43</v>
      </c>
      <c r="G383">
        <v>101570</v>
      </c>
      <c r="H383" t="s">
        <v>29</v>
      </c>
      <c r="I383">
        <v>100</v>
      </c>
      <c r="J383" t="s">
        <v>29</v>
      </c>
      <c r="K383" t="str">
        <f>VLOOKUP(J383,CountryName!$B:$C,2,TRUE)</f>
        <v>North America</v>
      </c>
      <c r="L383" t="s">
        <v>153</v>
      </c>
    </row>
    <row r="384" spans="1:12" x14ac:dyDescent="0.2">
      <c r="A384" s="1">
        <v>2022</v>
      </c>
      <c r="B384" t="str">
        <f>VLOOKUP(C384,References!$A$5:$B$8,2,TRUE)</f>
        <v>Senior Level</v>
      </c>
      <c r="C384" t="s">
        <v>17</v>
      </c>
      <c r="D384" t="s">
        <v>147</v>
      </c>
      <c r="E384" t="str">
        <f>VLOOKUP(F384,References!$D$1:$F$50,3,TRUE)</f>
        <v>Data Analyst</v>
      </c>
      <c r="F384" t="s">
        <v>31</v>
      </c>
      <c r="G384">
        <v>128875</v>
      </c>
      <c r="H384" t="s">
        <v>29</v>
      </c>
      <c r="I384">
        <v>100</v>
      </c>
      <c r="J384" t="s">
        <v>29</v>
      </c>
      <c r="K384" t="str">
        <f>VLOOKUP(J384,CountryName!$B:$C,2,TRUE)</f>
        <v>North America</v>
      </c>
      <c r="L384" t="s">
        <v>153</v>
      </c>
    </row>
    <row r="385" spans="1:12" x14ac:dyDescent="0.2">
      <c r="A385" s="1">
        <v>2022</v>
      </c>
      <c r="B385" t="str">
        <f>VLOOKUP(C385,References!$A$5:$B$8,2,TRUE)</f>
        <v>Senior Level</v>
      </c>
      <c r="C385" t="s">
        <v>17</v>
      </c>
      <c r="D385" t="s">
        <v>147</v>
      </c>
      <c r="E385" t="str">
        <f>VLOOKUP(F385,References!$D$1:$F$50,3,TRUE)</f>
        <v>Data Analyst</v>
      </c>
      <c r="F385" t="s">
        <v>31</v>
      </c>
      <c r="G385">
        <v>93700</v>
      </c>
      <c r="H385" t="s">
        <v>29</v>
      </c>
      <c r="I385">
        <v>100</v>
      </c>
      <c r="J385" t="s">
        <v>29</v>
      </c>
      <c r="K385" t="str">
        <f>VLOOKUP(J385,CountryName!$B:$C,2,TRUE)</f>
        <v>North America</v>
      </c>
      <c r="L385" t="s">
        <v>153</v>
      </c>
    </row>
    <row r="386" spans="1:12" x14ac:dyDescent="0.2">
      <c r="A386" s="1">
        <v>2022</v>
      </c>
      <c r="B386" t="str">
        <f>VLOOKUP(C386,References!$A$5:$B$8,2,TRUE)</f>
        <v>Expert Level</v>
      </c>
      <c r="C386" t="s">
        <v>53</v>
      </c>
      <c r="D386" t="s">
        <v>147</v>
      </c>
      <c r="E386" t="str">
        <f>VLOOKUP(F386,References!$D$1:$F$50,3,TRUE)</f>
        <v>Manager</v>
      </c>
      <c r="F386" t="s">
        <v>133</v>
      </c>
      <c r="G386">
        <v>79039</v>
      </c>
      <c r="H386" t="s">
        <v>40</v>
      </c>
      <c r="I386">
        <v>50</v>
      </c>
      <c r="J386" t="s">
        <v>40</v>
      </c>
      <c r="K386" t="str">
        <f>VLOOKUP(J386,CountryName!$B:$C,2,TRUE)</f>
        <v>Asia</v>
      </c>
      <c r="L386" t="s">
        <v>151</v>
      </c>
    </row>
    <row r="387" spans="1:12" x14ac:dyDescent="0.2">
      <c r="A387" s="1">
        <v>2022</v>
      </c>
      <c r="B387" t="str">
        <f>VLOOKUP(C387,References!$A$5:$B$8,2,TRUE)</f>
        <v>Senior Level</v>
      </c>
      <c r="C387" t="s">
        <v>17</v>
      </c>
      <c r="D387" t="s">
        <v>147</v>
      </c>
      <c r="E387" t="str">
        <f>VLOOKUP(F387,References!$D$1:$F$50,3,TRUE)</f>
        <v>Data Engineer</v>
      </c>
      <c r="F387" t="s">
        <v>43</v>
      </c>
      <c r="G387">
        <v>132320</v>
      </c>
      <c r="H387" t="s">
        <v>29</v>
      </c>
      <c r="I387">
        <v>100</v>
      </c>
      <c r="J387" t="s">
        <v>29</v>
      </c>
      <c r="K387" t="str">
        <f>VLOOKUP(J387,CountryName!$B:$C,2,TRUE)</f>
        <v>North America</v>
      </c>
      <c r="L387" t="s">
        <v>153</v>
      </c>
    </row>
    <row r="388" spans="1:12" x14ac:dyDescent="0.2">
      <c r="A388" s="1">
        <v>2022</v>
      </c>
      <c r="B388" t="str">
        <f>VLOOKUP(C388,References!$A$5:$B$8,2,TRUE)</f>
        <v>Entry Level</v>
      </c>
      <c r="C388" t="s">
        <v>30</v>
      </c>
      <c r="D388" t="s">
        <v>147</v>
      </c>
      <c r="E388" t="str">
        <f>VLOOKUP(F388,References!$D$1:$F$50,3,TRUE)</f>
        <v>Machine Learning</v>
      </c>
      <c r="F388" t="s">
        <v>28</v>
      </c>
      <c r="G388">
        <v>37300</v>
      </c>
      <c r="H388" t="s">
        <v>24</v>
      </c>
      <c r="I388">
        <v>100</v>
      </c>
      <c r="J388" t="s">
        <v>24</v>
      </c>
      <c r="K388" t="str">
        <f>VLOOKUP(J388,CountryName!$B:$C,2,TRUE)</f>
        <v>Europe</v>
      </c>
      <c r="L388" t="s">
        <v>151</v>
      </c>
    </row>
    <row r="389" spans="1:12" x14ac:dyDescent="0.2">
      <c r="A389" s="1">
        <v>2022</v>
      </c>
      <c r="B389" t="str">
        <f>VLOOKUP(C389,References!$A$5:$B$8,2,TRUE)</f>
        <v>Senior Level</v>
      </c>
      <c r="C389" t="s">
        <v>17</v>
      </c>
      <c r="D389" t="s">
        <v>147</v>
      </c>
      <c r="E389" t="str">
        <f>VLOOKUP(F389,References!$D$1:$F$50,3,TRUE)</f>
        <v>Data Analyst</v>
      </c>
      <c r="F389" t="s">
        <v>31</v>
      </c>
      <c r="G389">
        <v>164000</v>
      </c>
      <c r="H389" t="s">
        <v>29</v>
      </c>
      <c r="I389">
        <v>0</v>
      </c>
      <c r="J389" t="s">
        <v>29</v>
      </c>
      <c r="K389" t="str">
        <f>VLOOKUP(J389,CountryName!$B:$C,2,TRUE)</f>
        <v>North America</v>
      </c>
      <c r="L389" t="s">
        <v>153</v>
      </c>
    </row>
    <row r="390" spans="1:12" x14ac:dyDescent="0.2">
      <c r="A390" s="1">
        <v>2022</v>
      </c>
      <c r="B390" t="str">
        <f>VLOOKUP(C390,References!$A$5:$B$8,2,TRUE)</f>
        <v>Senior Level</v>
      </c>
      <c r="C390" t="s">
        <v>17</v>
      </c>
      <c r="D390" t="s">
        <v>147</v>
      </c>
      <c r="E390" t="str">
        <f>VLOOKUP(F390,References!$D$1:$F$50,3,TRUE)</f>
        <v>Data Engineer</v>
      </c>
      <c r="F390" t="s">
        <v>43</v>
      </c>
      <c r="G390">
        <v>155000</v>
      </c>
      <c r="H390" t="s">
        <v>29</v>
      </c>
      <c r="I390">
        <v>100</v>
      </c>
      <c r="J390" t="s">
        <v>29</v>
      </c>
      <c r="K390" t="str">
        <f>VLOOKUP(J390,CountryName!$B:$C,2,TRUE)</f>
        <v>North America</v>
      </c>
      <c r="L390" t="s">
        <v>153</v>
      </c>
    </row>
    <row r="391" spans="1:12" x14ac:dyDescent="0.2">
      <c r="A391" s="1">
        <v>2022</v>
      </c>
      <c r="B391" t="str">
        <f>VLOOKUP(C391,References!$A$5:$B$8,2,TRUE)</f>
        <v>Mid level</v>
      </c>
      <c r="C391" t="s">
        <v>11</v>
      </c>
      <c r="D391" t="s">
        <v>147</v>
      </c>
      <c r="E391" t="str">
        <f>VLOOKUP(F391,References!$D$1:$F$50,3,TRUE)</f>
        <v>Machine Learning</v>
      </c>
      <c r="F391" t="s">
        <v>28</v>
      </c>
      <c r="G391">
        <v>124333</v>
      </c>
      <c r="H391" t="s">
        <v>24</v>
      </c>
      <c r="I391">
        <v>0</v>
      </c>
      <c r="J391" t="s">
        <v>24</v>
      </c>
      <c r="K391" t="str">
        <f>VLOOKUP(J391,CountryName!$B:$C,2,TRUE)</f>
        <v>Europe</v>
      </c>
      <c r="L391" t="s">
        <v>153</v>
      </c>
    </row>
    <row r="392" spans="1:12" x14ac:dyDescent="0.2">
      <c r="A392" s="1">
        <v>2022</v>
      </c>
      <c r="B392" t="str">
        <f>VLOOKUP(C392,References!$A$5:$B$8,2,TRUE)</f>
        <v>Mid level</v>
      </c>
      <c r="C392" t="s">
        <v>11</v>
      </c>
      <c r="D392" t="s">
        <v>147</v>
      </c>
      <c r="E392" t="str">
        <f>VLOOKUP(F392,References!$D$1:$F$50,3,TRUE)</f>
        <v>Machine Learning</v>
      </c>
      <c r="F392" t="s">
        <v>28</v>
      </c>
      <c r="G392">
        <v>98158</v>
      </c>
      <c r="H392" t="s">
        <v>24</v>
      </c>
      <c r="I392">
        <v>0</v>
      </c>
      <c r="J392" t="s">
        <v>24</v>
      </c>
      <c r="K392" t="str">
        <f>VLOOKUP(J392,CountryName!$B:$C,2,TRUE)</f>
        <v>Europe</v>
      </c>
      <c r="L392" t="s">
        <v>153</v>
      </c>
    </row>
    <row r="393" spans="1:12" x14ac:dyDescent="0.2">
      <c r="A393" s="1">
        <v>2022</v>
      </c>
      <c r="B393" t="str">
        <f>VLOOKUP(C393,References!$A$5:$B$8,2,TRUE)</f>
        <v>Mid level</v>
      </c>
      <c r="C393" t="s">
        <v>11</v>
      </c>
      <c r="D393" t="s">
        <v>147</v>
      </c>
      <c r="E393" t="str">
        <f>VLOOKUP(F393,References!$D$1:$F$50,3,TRUE)</f>
        <v>Data Scientist</v>
      </c>
      <c r="F393" t="s">
        <v>70</v>
      </c>
      <c r="G393">
        <v>120000</v>
      </c>
      <c r="H393" t="s">
        <v>29</v>
      </c>
      <c r="I393">
        <v>0</v>
      </c>
      <c r="J393" t="s">
        <v>29</v>
      </c>
      <c r="K393" t="str">
        <f>VLOOKUP(J393,CountryName!$B:$C,2,TRUE)</f>
        <v>North America</v>
      </c>
      <c r="L393" t="s">
        <v>153</v>
      </c>
    </row>
    <row r="394" spans="1:12" x14ac:dyDescent="0.2">
      <c r="A394" s="1">
        <v>2022</v>
      </c>
      <c r="B394" t="str">
        <f>VLOOKUP(C394,References!$A$5:$B$8,2,TRUE)</f>
        <v>Senior Level</v>
      </c>
      <c r="C394" t="s">
        <v>17</v>
      </c>
      <c r="D394" t="s">
        <v>147</v>
      </c>
      <c r="E394" t="str">
        <f>VLOOKUP(F394,References!$D$1:$F$50,3,TRUE)</f>
        <v>Data Analyst</v>
      </c>
      <c r="F394" t="s">
        <v>31</v>
      </c>
      <c r="G394">
        <v>112900</v>
      </c>
      <c r="H394" t="s">
        <v>29</v>
      </c>
      <c r="I394">
        <v>100</v>
      </c>
      <c r="J394" t="s">
        <v>29</v>
      </c>
      <c r="K394" t="str">
        <f>VLOOKUP(J394,CountryName!$B:$C,2,TRUE)</f>
        <v>North America</v>
      </c>
      <c r="L394" t="s">
        <v>153</v>
      </c>
    </row>
    <row r="395" spans="1:12" x14ac:dyDescent="0.2">
      <c r="A395" s="1">
        <v>2022</v>
      </c>
      <c r="B395" t="str">
        <f>VLOOKUP(C395,References!$A$5:$B$8,2,TRUE)</f>
        <v>Senior Level</v>
      </c>
      <c r="C395" t="s">
        <v>17</v>
      </c>
      <c r="D395" t="s">
        <v>147</v>
      </c>
      <c r="E395" t="str">
        <f>VLOOKUP(F395,References!$D$1:$F$50,3,TRUE)</f>
        <v>Data Analyst</v>
      </c>
      <c r="F395" t="s">
        <v>31</v>
      </c>
      <c r="G395">
        <v>90320</v>
      </c>
      <c r="H395" t="s">
        <v>29</v>
      </c>
      <c r="I395">
        <v>100</v>
      </c>
      <c r="J395" t="s">
        <v>29</v>
      </c>
      <c r="K395" t="str">
        <f>VLOOKUP(J395,CountryName!$B:$C,2,TRUE)</f>
        <v>North America</v>
      </c>
      <c r="L395" t="s">
        <v>153</v>
      </c>
    </row>
    <row r="396" spans="1:12" x14ac:dyDescent="0.2">
      <c r="A396" s="1">
        <v>2022</v>
      </c>
      <c r="B396" t="str">
        <f>VLOOKUP(C396,References!$A$5:$B$8,2,TRUE)</f>
        <v>Senior Level</v>
      </c>
      <c r="C396" t="s">
        <v>17</v>
      </c>
      <c r="D396" t="s">
        <v>147</v>
      </c>
      <c r="E396" t="str">
        <f>VLOOKUP(F396,References!$D$1:$F$50,3,TRUE)</f>
        <v>Manager</v>
      </c>
      <c r="F396" t="s">
        <v>105</v>
      </c>
      <c r="G396">
        <v>145000</v>
      </c>
      <c r="H396" t="s">
        <v>29</v>
      </c>
      <c r="I396">
        <v>100</v>
      </c>
      <c r="J396" t="s">
        <v>29</v>
      </c>
      <c r="K396" t="str">
        <f>VLOOKUP(J396,CountryName!$B:$C,2,TRUE)</f>
        <v>North America</v>
      </c>
      <c r="L396" t="s">
        <v>153</v>
      </c>
    </row>
    <row r="397" spans="1:12" x14ac:dyDescent="0.2">
      <c r="A397" s="1">
        <v>2022</v>
      </c>
      <c r="B397" t="str">
        <f>VLOOKUP(C397,References!$A$5:$B$8,2,TRUE)</f>
        <v>Senior Level</v>
      </c>
      <c r="C397" t="s">
        <v>17</v>
      </c>
      <c r="D397" t="s">
        <v>147</v>
      </c>
      <c r="E397" t="str">
        <f>VLOOKUP(F397,References!$D$1:$F$50,3,TRUE)</f>
        <v>Manager</v>
      </c>
      <c r="F397" t="s">
        <v>105</v>
      </c>
      <c r="G397">
        <v>105400</v>
      </c>
      <c r="H397" t="s">
        <v>29</v>
      </c>
      <c r="I397">
        <v>100</v>
      </c>
      <c r="J397" t="s">
        <v>29</v>
      </c>
      <c r="K397" t="str">
        <f>VLOOKUP(J397,CountryName!$B:$C,2,TRUE)</f>
        <v>North America</v>
      </c>
      <c r="L397" t="s">
        <v>153</v>
      </c>
    </row>
    <row r="398" spans="1:12" x14ac:dyDescent="0.2">
      <c r="A398" s="1">
        <v>2022</v>
      </c>
      <c r="B398" t="str">
        <f>VLOOKUP(C398,References!$A$5:$B$8,2,TRUE)</f>
        <v>Mid level</v>
      </c>
      <c r="C398" t="s">
        <v>11</v>
      </c>
      <c r="D398" t="s">
        <v>147</v>
      </c>
      <c r="E398" t="str">
        <f>VLOOKUP(F398,References!$D$1:$F$50,3,TRUE)</f>
        <v>Machine Learning</v>
      </c>
      <c r="F398" t="s">
        <v>28</v>
      </c>
      <c r="G398">
        <v>87932</v>
      </c>
      <c r="H398" t="s">
        <v>38</v>
      </c>
      <c r="I398">
        <v>100</v>
      </c>
      <c r="J398" t="s">
        <v>15</v>
      </c>
      <c r="K398" t="str">
        <f>VLOOKUP(J398,CountryName!$B:$C,2,TRUE)</f>
        <v>Europe</v>
      </c>
      <c r="L398" t="s">
        <v>153</v>
      </c>
    </row>
    <row r="399" spans="1:12" x14ac:dyDescent="0.2">
      <c r="A399" s="1">
        <v>2022</v>
      </c>
      <c r="B399" t="str">
        <f>VLOOKUP(C399,References!$A$5:$B$8,2,TRUE)</f>
        <v>Mid level</v>
      </c>
      <c r="C399" t="s">
        <v>11</v>
      </c>
      <c r="D399" t="s">
        <v>147</v>
      </c>
      <c r="E399" t="str">
        <f>VLOOKUP(F399,References!$D$1:$F$50,3,TRUE)</f>
        <v>Data Engineer</v>
      </c>
      <c r="F399" t="s">
        <v>43</v>
      </c>
      <c r="G399">
        <v>117789</v>
      </c>
      <c r="H399" t="s">
        <v>24</v>
      </c>
      <c r="I399">
        <v>0</v>
      </c>
      <c r="J399" t="s">
        <v>24</v>
      </c>
      <c r="K399" t="str">
        <f>VLOOKUP(J399,CountryName!$B:$C,2,TRUE)</f>
        <v>Europe</v>
      </c>
      <c r="L399" t="s">
        <v>153</v>
      </c>
    </row>
    <row r="400" spans="1:12" x14ac:dyDescent="0.2">
      <c r="A400" s="1">
        <v>2022</v>
      </c>
      <c r="B400" t="str">
        <f>VLOOKUP(C400,References!$A$5:$B$8,2,TRUE)</f>
        <v>Senior Level</v>
      </c>
      <c r="C400" t="s">
        <v>17</v>
      </c>
      <c r="D400" t="s">
        <v>147</v>
      </c>
      <c r="E400" t="str">
        <f>VLOOKUP(F400,References!$D$1:$F$50,3,TRUE)</f>
        <v>Data Scientist</v>
      </c>
      <c r="F400" t="s">
        <v>13</v>
      </c>
      <c r="G400">
        <v>215300</v>
      </c>
      <c r="H400" t="s">
        <v>29</v>
      </c>
      <c r="I400">
        <v>100</v>
      </c>
      <c r="J400" t="s">
        <v>29</v>
      </c>
      <c r="K400" t="str">
        <f>VLOOKUP(J400,CountryName!$B:$C,2,TRUE)</f>
        <v>North America</v>
      </c>
      <c r="L400" t="s">
        <v>151</v>
      </c>
    </row>
    <row r="401" spans="1:12" x14ac:dyDescent="0.2">
      <c r="A401" s="1">
        <v>2022</v>
      </c>
      <c r="B401" t="str">
        <f>VLOOKUP(C401,References!$A$5:$B$8,2,TRUE)</f>
        <v>Senior Level</v>
      </c>
      <c r="C401" t="s">
        <v>17</v>
      </c>
      <c r="D401" t="s">
        <v>147</v>
      </c>
      <c r="E401" t="str">
        <f>VLOOKUP(F401,References!$D$1:$F$50,3,TRUE)</f>
        <v>Data Scientist</v>
      </c>
      <c r="F401" t="s">
        <v>13</v>
      </c>
      <c r="G401">
        <v>158200</v>
      </c>
      <c r="H401" t="s">
        <v>29</v>
      </c>
      <c r="I401">
        <v>100</v>
      </c>
      <c r="J401" t="s">
        <v>29</v>
      </c>
      <c r="K401" t="str">
        <f>VLOOKUP(J401,CountryName!$B:$C,2,TRUE)</f>
        <v>North America</v>
      </c>
      <c r="L401" t="s">
        <v>151</v>
      </c>
    </row>
    <row r="402" spans="1:12" x14ac:dyDescent="0.2">
      <c r="A402" s="1">
        <v>2022</v>
      </c>
      <c r="B402" t="str">
        <f>VLOOKUP(C402,References!$A$5:$B$8,2,TRUE)</f>
        <v>Senior Level</v>
      </c>
      <c r="C402" t="s">
        <v>17</v>
      </c>
      <c r="D402" t="s">
        <v>147</v>
      </c>
      <c r="E402" t="str">
        <f>VLOOKUP(F402,References!$D$1:$F$50,3,TRUE)</f>
        <v>Data Engineer</v>
      </c>
      <c r="F402" t="s">
        <v>43</v>
      </c>
      <c r="G402">
        <v>209100</v>
      </c>
      <c r="H402" t="s">
        <v>29</v>
      </c>
      <c r="I402">
        <v>100</v>
      </c>
      <c r="J402" t="s">
        <v>29</v>
      </c>
      <c r="K402" t="str">
        <f>VLOOKUP(J402,CountryName!$B:$C,2,TRUE)</f>
        <v>North America</v>
      </c>
      <c r="L402" t="s">
        <v>151</v>
      </c>
    </row>
    <row r="403" spans="1:12" x14ac:dyDescent="0.2">
      <c r="A403" s="1">
        <v>2022</v>
      </c>
      <c r="B403" t="str">
        <f>VLOOKUP(C403,References!$A$5:$B$8,2,TRUE)</f>
        <v>Senior Level</v>
      </c>
      <c r="C403" t="s">
        <v>17</v>
      </c>
      <c r="D403" t="s">
        <v>147</v>
      </c>
      <c r="E403" t="str">
        <f>VLOOKUP(F403,References!$D$1:$F$50,3,TRUE)</f>
        <v>Data Engineer</v>
      </c>
      <c r="F403" t="s">
        <v>43</v>
      </c>
      <c r="G403">
        <v>154600</v>
      </c>
      <c r="H403" t="s">
        <v>29</v>
      </c>
      <c r="I403">
        <v>100</v>
      </c>
      <c r="J403" t="s">
        <v>29</v>
      </c>
      <c r="K403" t="str">
        <f>VLOOKUP(J403,CountryName!$B:$C,2,TRUE)</f>
        <v>North America</v>
      </c>
      <c r="L403" t="s">
        <v>151</v>
      </c>
    </row>
    <row r="404" spans="1:12" x14ac:dyDescent="0.2">
      <c r="A404" s="1">
        <v>2022</v>
      </c>
      <c r="B404" t="str">
        <f>VLOOKUP(C404,References!$A$5:$B$8,2,TRUE)</f>
        <v>Senior Level</v>
      </c>
      <c r="C404" t="s">
        <v>17</v>
      </c>
      <c r="D404" t="s">
        <v>147</v>
      </c>
      <c r="E404" t="str">
        <f>VLOOKUP(F404,References!$D$1:$F$50,3,TRUE)</f>
        <v>Data Analyst</v>
      </c>
      <c r="F404" t="s">
        <v>31</v>
      </c>
      <c r="G404">
        <v>115934</v>
      </c>
      <c r="H404" t="s">
        <v>29</v>
      </c>
      <c r="I404">
        <v>0</v>
      </c>
      <c r="J404" t="s">
        <v>29</v>
      </c>
      <c r="K404" t="str">
        <f>VLOOKUP(J404,CountryName!$B:$C,2,TRUE)</f>
        <v>North America</v>
      </c>
      <c r="L404" t="s">
        <v>153</v>
      </c>
    </row>
    <row r="405" spans="1:12" x14ac:dyDescent="0.2">
      <c r="A405" s="1">
        <v>2022</v>
      </c>
      <c r="B405" t="str">
        <f>VLOOKUP(C405,References!$A$5:$B$8,2,TRUE)</f>
        <v>Senior Level</v>
      </c>
      <c r="C405" t="s">
        <v>17</v>
      </c>
      <c r="D405" t="s">
        <v>147</v>
      </c>
      <c r="E405" t="str">
        <f>VLOOKUP(F405,References!$D$1:$F$50,3,TRUE)</f>
        <v>Data Analyst</v>
      </c>
      <c r="F405" t="s">
        <v>31</v>
      </c>
      <c r="G405">
        <v>81666</v>
      </c>
      <c r="H405" t="s">
        <v>29</v>
      </c>
      <c r="I405">
        <v>0</v>
      </c>
      <c r="J405" t="s">
        <v>29</v>
      </c>
      <c r="K405" t="str">
        <f>VLOOKUP(J405,CountryName!$B:$C,2,TRUE)</f>
        <v>North America</v>
      </c>
      <c r="L405" t="s">
        <v>153</v>
      </c>
    </row>
    <row r="406" spans="1:12" x14ac:dyDescent="0.2">
      <c r="A406" s="1">
        <v>2022</v>
      </c>
      <c r="B406" t="str">
        <f>VLOOKUP(C406,References!$A$5:$B$8,2,TRUE)</f>
        <v>Senior Level</v>
      </c>
      <c r="C406" t="s">
        <v>17</v>
      </c>
      <c r="D406" t="s">
        <v>147</v>
      </c>
      <c r="E406" t="str">
        <f>VLOOKUP(F406,References!$D$1:$F$50,3,TRUE)</f>
        <v>Data Engineer</v>
      </c>
      <c r="F406" t="s">
        <v>43</v>
      </c>
      <c r="G406">
        <v>175000</v>
      </c>
      <c r="H406" t="s">
        <v>29</v>
      </c>
      <c r="I406">
        <v>100</v>
      </c>
      <c r="J406" t="s">
        <v>29</v>
      </c>
      <c r="K406" t="str">
        <f>VLOOKUP(J406,CountryName!$B:$C,2,TRUE)</f>
        <v>North America</v>
      </c>
      <c r="L406" t="s">
        <v>153</v>
      </c>
    </row>
    <row r="407" spans="1:12" x14ac:dyDescent="0.2">
      <c r="A407" s="1">
        <v>2022</v>
      </c>
      <c r="B407" t="str">
        <f>VLOOKUP(C407,References!$A$5:$B$8,2,TRUE)</f>
        <v>Mid level</v>
      </c>
      <c r="C407" t="s">
        <v>11</v>
      </c>
      <c r="D407" t="s">
        <v>147</v>
      </c>
      <c r="E407" t="str">
        <f>VLOOKUP(F407,References!$D$1:$F$50,3,TRUE)</f>
        <v>Data Engineer</v>
      </c>
      <c r="F407" t="s">
        <v>43</v>
      </c>
      <c r="G407">
        <v>98158</v>
      </c>
      <c r="H407" t="s">
        <v>24</v>
      </c>
      <c r="I407">
        <v>0</v>
      </c>
      <c r="J407" t="s">
        <v>24</v>
      </c>
      <c r="K407" t="str">
        <f>VLOOKUP(J407,CountryName!$B:$C,2,TRUE)</f>
        <v>Europe</v>
      </c>
      <c r="L407" t="s">
        <v>153</v>
      </c>
    </row>
    <row r="408" spans="1:12" x14ac:dyDescent="0.2">
      <c r="A408" s="1">
        <v>2022</v>
      </c>
      <c r="B408" t="str">
        <f>VLOOKUP(C408,References!$A$5:$B$8,2,TRUE)</f>
        <v>Mid level</v>
      </c>
      <c r="C408" t="s">
        <v>11</v>
      </c>
      <c r="D408" t="s">
        <v>147</v>
      </c>
      <c r="E408" t="str">
        <f>VLOOKUP(F408,References!$D$1:$F$50,3,TRUE)</f>
        <v>Data Analyst</v>
      </c>
      <c r="F408" t="s">
        <v>31</v>
      </c>
      <c r="G408">
        <v>58000</v>
      </c>
      <c r="H408" t="s">
        <v>29</v>
      </c>
      <c r="I408">
        <v>0</v>
      </c>
      <c r="J408" t="s">
        <v>29</v>
      </c>
      <c r="K408" t="str">
        <f>VLOOKUP(J408,CountryName!$B:$C,2,TRUE)</f>
        <v>North America</v>
      </c>
      <c r="L408" t="s">
        <v>152</v>
      </c>
    </row>
    <row r="409" spans="1:12" x14ac:dyDescent="0.2">
      <c r="A409" s="1">
        <v>2022</v>
      </c>
      <c r="B409" t="str">
        <f>VLOOKUP(C409,References!$A$5:$B$8,2,TRUE)</f>
        <v>Senior Level</v>
      </c>
      <c r="C409" t="s">
        <v>17</v>
      </c>
      <c r="D409" t="s">
        <v>147</v>
      </c>
      <c r="E409" t="str">
        <f>VLOOKUP(F409,References!$D$1:$F$50,3,TRUE)</f>
        <v>Data Engineer</v>
      </c>
      <c r="F409" t="s">
        <v>43</v>
      </c>
      <c r="G409">
        <v>183600</v>
      </c>
      <c r="H409" t="s">
        <v>29</v>
      </c>
      <c r="I409">
        <v>100</v>
      </c>
      <c r="J409" t="s">
        <v>29</v>
      </c>
      <c r="K409" t="str">
        <f>VLOOKUP(J409,CountryName!$B:$C,2,TRUE)</f>
        <v>North America</v>
      </c>
      <c r="L409" t="s">
        <v>151</v>
      </c>
    </row>
    <row r="410" spans="1:12" x14ac:dyDescent="0.2">
      <c r="A410" s="1">
        <v>2022</v>
      </c>
      <c r="B410" t="str">
        <f>VLOOKUP(C410,References!$A$5:$B$8,2,TRUE)</f>
        <v>Mid level</v>
      </c>
      <c r="C410" t="s">
        <v>11</v>
      </c>
      <c r="D410" t="s">
        <v>147</v>
      </c>
      <c r="E410" t="str">
        <f>VLOOKUP(F410,References!$D$1:$F$50,3,TRUE)</f>
        <v>Data Analyst</v>
      </c>
      <c r="F410" t="s">
        <v>31</v>
      </c>
      <c r="G410">
        <v>52351</v>
      </c>
      <c r="H410" t="s">
        <v>24</v>
      </c>
      <c r="I410">
        <v>100</v>
      </c>
      <c r="J410" t="s">
        <v>24</v>
      </c>
      <c r="K410" t="str">
        <f>VLOOKUP(J410,CountryName!$B:$C,2,TRUE)</f>
        <v>Europe</v>
      </c>
      <c r="L410" t="s">
        <v>153</v>
      </c>
    </row>
    <row r="411" spans="1:12" x14ac:dyDescent="0.2">
      <c r="A411" s="1">
        <v>2022</v>
      </c>
      <c r="B411" t="str">
        <f>VLOOKUP(C411,References!$A$5:$B$8,2,TRUE)</f>
        <v>Senior Level</v>
      </c>
      <c r="C411" t="s">
        <v>17</v>
      </c>
      <c r="D411" t="s">
        <v>147</v>
      </c>
      <c r="E411" t="str">
        <f>VLOOKUP(F411,References!$D$1:$F$50,3,TRUE)</f>
        <v>Data Scientist</v>
      </c>
      <c r="F411" t="s">
        <v>13</v>
      </c>
      <c r="G411">
        <v>180000</v>
      </c>
      <c r="H411" t="s">
        <v>29</v>
      </c>
      <c r="I411">
        <v>100</v>
      </c>
      <c r="J411" t="s">
        <v>29</v>
      </c>
      <c r="K411" t="str">
        <f>VLOOKUP(J411,CountryName!$B:$C,2,TRUE)</f>
        <v>North America</v>
      </c>
      <c r="L411" t="s">
        <v>153</v>
      </c>
    </row>
    <row r="412" spans="1:12" x14ac:dyDescent="0.2">
      <c r="A412" s="1">
        <v>2022</v>
      </c>
      <c r="B412" t="str">
        <f>VLOOKUP(C412,References!$A$5:$B$8,2,TRUE)</f>
        <v>Mid level</v>
      </c>
      <c r="C412" t="s">
        <v>11</v>
      </c>
      <c r="D412" t="s">
        <v>147</v>
      </c>
      <c r="E412" t="str">
        <f>VLOOKUP(F412,References!$D$1:$F$50,3,TRUE)</f>
        <v>Data Scientist</v>
      </c>
      <c r="F412" t="s">
        <v>13</v>
      </c>
      <c r="G412">
        <v>71982</v>
      </c>
      <c r="H412" t="s">
        <v>24</v>
      </c>
      <c r="I412">
        <v>0</v>
      </c>
      <c r="J412" t="s">
        <v>24</v>
      </c>
      <c r="K412" t="str">
        <f>VLOOKUP(J412,CountryName!$B:$C,2,TRUE)</f>
        <v>Europe</v>
      </c>
      <c r="L412" t="s">
        <v>153</v>
      </c>
    </row>
    <row r="413" spans="1:12" x14ac:dyDescent="0.2">
      <c r="A413" s="1">
        <v>2022</v>
      </c>
      <c r="B413" t="str">
        <f>VLOOKUP(C413,References!$A$5:$B$8,2,TRUE)</f>
        <v>Mid level</v>
      </c>
      <c r="C413" t="s">
        <v>11</v>
      </c>
      <c r="D413" t="s">
        <v>147</v>
      </c>
      <c r="E413" t="str">
        <f>VLOOKUP(F413,References!$D$1:$F$50,3,TRUE)</f>
        <v>Data Scientist</v>
      </c>
      <c r="F413" t="s">
        <v>13</v>
      </c>
      <c r="G413">
        <v>45807</v>
      </c>
      <c r="H413" t="s">
        <v>24</v>
      </c>
      <c r="I413">
        <v>0</v>
      </c>
      <c r="J413" t="s">
        <v>24</v>
      </c>
      <c r="K413" t="str">
        <f>VLOOKUP(J413,CountryName!$B:$C,2,TRUE)</f>
        <v>Europe</v>
      </c>
      <c r="L413" t="s">
        <v>153</v>
      </c>
    </row>
    <row r="414" spans="1:12" x14ac:dyDescent="0.2">
      <c r="A414" s="1">
        <v>2022</v>
      </c>
      <c r="B414" t="str">
        <f>VLOOKUP(C414,References!$A$5:$B$8,2,TRUE)</f>
        <v>Mid level</v>
      </c>
      <c r="C414" t="s">
        <v>11</v>
      </c>
      <c r="D414" t="s">
        <v>147</v>
      </c>
      <c r="E414" t="str">
        <f>VLOOKUP(F414,References!$D$1:$F$50,3,TRUE)</f>
        <v>Data Engineer</v>
      </c>
      <c r="F414" t="s">
        <v>43</v>
      </c>
      <c r="G414">
        <v>65949</v>
      </c>
      <c r="H414" t="s">
        <v>50</v>
      </c>
      <c r="I414">
        <v>100</v>
      </c>
      <c r="J414" t="s">
        <v>50</v>
      </c>
      <c r="K414" t="str">
        <f>VLOOKUP(J414,CountryName!$B:$C,2,TRUE)</f>
        <v>Europe</v>
      </c>
      <c r="L414" t="s">
        <v>153</v>
      </c>
    </row>
    <row r="415" spans="1:12" x14ac:dyDescent="0.2">
      <c r="A415" s="1">
        <v>2022</v>
      </c>
      <c r="B415" t="str">
        <f>VLOOKUP(C415,References!$A$5:$B$8,2,TRUE)</f>
        <v>Mid level</v>
      </c>
      <c r="C415" t="s">
        <v>11</v>
      </c>
      <c r="D415" t="s">
        <v>147</v>
      </c>
      <c r="E415" t="str">
        <f>VLOOKUP(F415,References!$D$1:$F$50,3,TRUE)</f>
        <v>Data Engineer</v>
      </c>
      <c r="F415" t="s">
        <v>43</v>
      </c>
      <c r="G415">
        <v>49461</v>
      </c>
      <c r="H415" t="s">
        <v>50</v>
      </c>
      <c r="I415">
        <v>100</v>
      </c>
      <c r="J415" t="s">
        <v>50</v>
      </c>
      <c r="K415" t="str">
        <f>VLOOKUP(J415,CountryName!$B:$C,2,TRUE)</f>
        <v>Europe</v>
      </c>
      <c r="L415" t="s">
        <v>153</v>
      </c>
    </row>
    <row r="416" spans="1:12" x14ac:dyDescent="0.2">
      <c r="A416" s="1">
        <v>2022</v>
      </c>
      <c r="B416" t="str">
        <f>VLOOKUP(C416,References!$A$5:$B$8,2,TRUE)</f>
        <v>Mid level</v>
      </c>
      <c r="C416" t="s">
        <v>11</v>
      </c>
      <c r="D416" t="s">
        <v>147</v>
      </c>
      <c r="E416" t="str">
        <f>VLOOKUP(F416,References!$D$1:$F$50,3,TRUE)</f>
        <v>Data Engineer</v>
      </c>
      <c r="F416" t="s">
        <v>43</v>
      </c>
      <c r="G416">
        <v>78526</v>
      </c>
      <c r="H416" t="s">
        <v>24</v>
      </c>
      <c r="I416">
        <v>100</v>
      </c>
      <c r="J416" t="s">
        <v>24</v>
      </c>
      <c r="K416" t="str">
        <f>VLOOKUP(J416,CountryName!$B:$C,2,TRUE)</f>
        <v>Europe</v>
      </c>
      <c r="L416" t="s">
        <v>153</v>
      </c>
    </row>
    <row r="417" spans="1:12" x14ac:dyDescent="0.2">
      <c r="A417" s="1">
        <v>2022</v>
      </c>
      <c r="B417" t="str">
        <f>VLOOKUP(C417,References!$A$5:$B$8,2,TRUE)</f>
        <v>Mid level</v>
      </c>
      <c r="C417" t="s">
        <v>11</v>
      </c>
      <c r="D417" t="s">
        <v>147</v>
      </c>
      <c r="E417" t="str">
        <f>VLOOKUP(F417,References!$D$1:$F$50,3,TRUE)</f>
        <v>Data Engineer</v>
      </c>
      <c r="F417" t="s">
        <v>43</v>
      </c>
      <c r="G417">
        <v>58894</v>
      </c>
      <c r="H417" t="s">
        <v>24</v>
      </c>
      <c r="I417">
        <v>100</v>
      </c>
      <c r="J417" t="s">
        <v>24</v>
      </c>
      <c r="K417" t="str">
        <f>VLOOKUP(J417,CountryName!$B:$C,2,TRUE)</f>
        <v>Europe</v>
      </c>
      <c r="L417" t="s">
        <v>153</v>
      </c>
    </row>
    <row r="418" spans="1:12" x14ac:dyDescent="0.2">
      <c r="A418" s="1">
        <v>2022</v>
      </c>
      <c r="B418" t="str">
        <f>VLOOKUP(C418,References!$A$5:$B$8,2,TRUE)</f>
        <v>Senior Level</v>
      </c>
      <c r="C418" t="s">
        <v>17</v>
      </c>
      <c r="D418" t="s">
        <v>147</v>
      </c>
      <c r="E418" t="str">
        <f>VLOOKUP(F418,References!$D$1:$F$50,3,TRUE)</f>
        <v>Data Scientist</v>
      </c>
      <c r="F418" t="s">
        <v>13</v>
      </c>
      <c r="G418">
        <v>260000</v>
      </c>
      <c r="H418" t="s">
        <v>29</v>
      </c>
      <c r="I418">
        <v>100</v>
      </c>
      <c r="J418" t="s">
        <v>29</v>
      </c>
      <c r="K418" t="str">
        <f>VLOOKUP(J418,CountryName!$B:$C,2,TRUE)</f>
        <v>North America</v>
      </c>
      <c r="L418" t="s">
        <v>153</v>
      </c>
    </row>
    <row r="419" spans="1:12" x14ac:dyDescent="0.2">
      <c r="A419" s="1">
        <v>2022</v>
      </c>
      <c r="B419" t="str">
        <f>VLOOKUP(C419,References!$A$5:$B$8,2,TRUE)</f>
        <v>Senior Level</v>
      </c>
      <c r="C419" t="s">
        <v>17</v>
      </c>
      <c r="D419" t="s">
        <v>147</v>
      </c>
      <c r="E419" t="str">
        <f>VLOOKUP(F419,References!$D$1:$F$50,3,TRUE)</f>
        <v>Data Engineer</v>
      </c>
      <c r="F419" t="s">
        <v>95</v>
      </c>
      <c r="G419">
        <v>60000</v>
      </c>
      <c r="H419" t="s">
        <v>134</v>
      </c>
      <c r="I419">
        <v>100</v>
      </c>
      <c r="J419" t="s">
        <v>58</v>
      </c>
      <c r="K419" t="str">
        <f>VLOOKUP(J419,CountryName!$B:$C,2,TRUE)</f>
        <v>North America</v>
      </c>
      <c r="L419" t="s">
        <v>151</v>
      </c>
    </row>
    <row r="420" spans="1:12" x14ac:dyDescent="0.2">
      <c r="A420" s="1">
        <v>2022</v>
      </c>
      <c r="B420" t="str">
        <f>VLOOKUP(C420,References!$A$5:$B$8,2,TRUE)</f>
        <v>Mid level</v>
      </c>
      <c r="C420" t="s">
        <v>11</v>
      </c>
      <c r="D420" t="s">
        <v>147</v>
      </c>
      <c r="E420" t="str">
        <f>VLOOKUP(F420,References!$D$1:$F$50,3,TRUE)</f>
        <v>Data Engineer</v>
      </c>
      <c r="F420" t="s">
        <v>43</v>
      </c>
      <c r="G420">
        <v>63900</v>
      </c>
      <c r="H420" t="s">
        <v>29</v>
      </c>
      <c r="I420">
        <v>0</v>
      </c>
      <c r="J420" t="s">
        <v>29</v>
      </c>
      <c r="K420" t="str">
        <f>VLOOKUP(J420,CountryName!$B:$C,2,TRUE)</f>
        <v>North America</v>
      </c>
      <c r="L420" t="s">
        <v>153</v>
      </c>
    </row>
    <row r="421" spans="1:12" x14ac:dyDescent="0.2">
      <c r="A421" s="1">
        <v>2022</v>
      </c>
      <c r="B421" t="str">
        <f>VLOOKUP(C421,References!$A$5:$B$8,2,TRUE)</f>
        <v>Mid level</v>
      </c>
      <c r="C421" t="s">
        <v>11</v>
      </c>
      <c r="D421" t="s">
        <v>147</v>
      </c>
      <c r="E421" t="str">
        <f>VLOOKUP(F421,References!$D$1:$F$50,3,TRUE)</f>
        <v>Scientist</v>
      </c>
      <c r="F421" t="s">
        <v>18</v>
      </c>
      <c r="G421">
        <v>160000</v>
      </c>
      <c r="H421" t="s">
        <v>29</v>
      </c>
      <c r="I421">
        <v>100</v>
      </c>
      <c r="J421" t="s">
        <v>29</v>
      </c>
      <c r="K421" t="str">
        <f>VLOOKUP(J421,CountryName!$B:$C,2,TRUE)</f>
        <v>North America</v>
      </c>
      <c r="L421" t="s">
        <v>151</v>
      </c>
    </row>
    <row r="422" spans="1:12" x14ac:dyDescent="0.2">
      <c r="A422" s="1">
        <v>2022</v>
      </c>
      <c r="B422" t="str">
        <f>VLOOKUP(C422,References!$A$5:$B$8,2,TRUE)</f>
        <v>Mid level</v>
      </c>
      <c r="C422" t="s">
        <v>11</v>
      </c>
      <c r="D422" t="s">
        <v>147</v>
      </c>
      <c r="E422" t="str">
        <f>VLOOKUP(F422,References!$D$1:$F$50,3,TRUE)</f>
        <v>Scientist</v>
      </c>
      <c r="F422" t="s">
        <v>18</v>
      </c>
      <c r="G422">
        <v>112300</v>
      </c>
      <c r="H422" t="s">
        <v>29</v>
      </c>
      <c r="I422">
        <v>100</v>
      </c>
      <c r="J422" t="s">
        <v>29</v>
      </c>
      <c r="K422" t="str">
        <f>VLOOKUP(J422,CountryName!$B:$C,2,TRUE)</f>
        <v>North America</v>
      </c>
      <c r="L422" t="s">
        <v>151</v>
      </c>
    </row>
    <row r="423" spans="1:12" x14ac:dyDescent="0.2">
      <c r="A423" s="1">
        <v>2022</v>
      </c>
      <c r="B423" t="str">
        <f>VLOOKUP(C423,References!$A$5:$B$8,2,TRUE)</f>
        <v>Mid level</v>
      </c>
      <c r="C423" t="s">
        <v>11</v>
      </c>
      <c r="D423" t="s">
        <v>147</v>
      </c>
      <c r="E423" t="str">
        <f>VLOOKUP(F423,References!$D$1:$F$50,3,TRUE)</f>
        <v>Manager</v>
      </c>
      <c r="F423" t="s">
        <v>79</v>
      </c>
      <c r="G423">
        <v>241000</v>
      </c>
      <c r="H423" t="s">
        <v>29</v>
      </c>
      <c r="I423">
        <v>100</v>
      </c>
      <c r="J423" t="s">
        <v>29</v>
      </c>
      <c r="K423" t="str">
        <f>VLOOKUP(J423,CountryName!$B:$C,2,TRUE)</f>
        <v>North America</v>
      </c>
      <c r="L423" t="s">
        <v>153</v>
      </c>
    </row>
    <row r="424" spans="1:12" x14ac:dyDescent="0.2">
      <c r="A424" s="1">
        <v>2022</v>
      </c>
      <c r="B424" t="str">
        <f>VLOOKUP(C424,References!$A$5:$B$8,2,TRUE)</f>
        <v>Mid level</v>
      </c>
      <c r="C424" t="s">
        <v>11</v>
      </c>
      <c r="D424" t="s">
        <v>147</v>
      </c>
      <c r="E424" t="str">
        <f>VLOOKUP(F424,References!$D$1:$F$50,3,TRUE)</f>
        <v>Manager</v>
      </c>
      <c r="F424" t="s">
        <v>79</v>
      </c>
      <c r="G424">
        <v>159000</v>
      </c>
      <c r="H424" t="s">
        <v>29</v>
      </c>
      <c r="I424">
        <v>100</v>
      </c>
      <c r="J424" t="s">
        <v>29</v>
      </c>
      <c r="K424" t="str">
        <f>VLOOKUP(J424,CountryName!$B:$C,2,TRUE)</f>
        <v>North America</v>
      </c>
      <c r="L424" t="s">
        <v>153</v>
      </c>
    </row>
    <row r="425" spans="1:12" x14ac:dyDescent="0.2">
      <c r="A425" s="1">
        <v>2022</v>
      </c>
      <c r="B425" t="str">
        <f>VLOOKUP(C425,References!$A$5:$B$8,2,TRUE)</f>
        <v>Senior Level</v>
      </c>
      <c r="C425" t="s">
        <v>17</v>
      </c>
      <c r="D425" t="s">
        <v>147</v>
      </c>
      <c r="E425" t="str">
        <f>VLOOKUP(F425,References!$D$1:$F$50,3,TRUE)</f>
        <v>Data Scientist</v>
      </c>
      <c r="F425" t="s">
        <v>13</v>
      </c>
      <c r="G425">
        <v>180000</v>
      </c>
      <c r="H425" t="s">
        <v>29</v>
      </c>
      <c r="I425">
        <v>0</v>
      </c>
      <c r="J425" t="s">
        <v>29</v>
      </c>
      <c r="K425" t="str">
        <f>VLOOKUP(J425,CountryName!$B:$C,2,TRUE)</f>
        <v>North America</v>
      </c>
      <c r="L425" t="s">
        <v>153</v>
      </c>
    </row>
    <row r="426" spans="1:12" x14ac:dyDescent="0.2">
      <c r="A426" s="1">
        <v>2022</v>
      </c>
      <c r="B426" t="str">
        <f>VLOOKUP(C426,References!$A$5:$B$8,2,TRUE)</f>
        <v>Senior Level</v>
      </c>
      <c r="C426" t="s">
        <v>17</v>
      </c>
      <c r="D426" t="s">
        <v>147</v>
      </c>
      <c r="E426" t="str">
        <f>VLOOKUP(F426,References!$D$1:$F$50,3,TRUE)</f>
        <v>Data Scientist</v>
      </c>
      <c r="F426" t="s">
        <v>13</v>
      </c>
      <c r="G426">
        <v>80000</v>
      </c>
      <c r="H426" t="s">
        <v>29</v>
      </c>
      <c r="I426">
        <v>0</v>
      </c>
      <c r="J426" t="s">
        <v>29</v>
      </c>
      <c r="K426" t="str">
        <f>VLOOKUP(J426,CountryName!$B:$C,2,TRUE)</f>
        <v>North America</v>
      </c>
      <c r="L426" t="s">
        <v>153</v>
      </c>
    </row>
    <row r="427" spans="1:12" x14ac:dyDescent="0.2">
      <c r="A427" s="1">
        <v>2022</v>
      </c>
      <c r="B427" t="str">
        <f>VLOOKUP(C427,References!$A$5:$B$8,2,TRUE)</f>
        <v>Mid level</v>
      </c>
      <c r="C427" t="s">
        <v>11</v>
      </c>
      <c r="D427" t="s">
        <v>147</v>
      </c>
      <c r="E427" t="str">
        <f>VLOOKUP(F427,References!$D$1:$F$50,3,TRUE)</f>
        <v>Data Engineer</v>
      </c>
      <c r="F427" t="s">
        <v>43</v>
      </c>
      <c r="G427">
        <v>82900</v>
      </c>
      <c r="H427" t="s">
        <v>29</v>
      </c>
      <c r="I427">
        <v>0</v>
      </c>
      <c r="J427" t="s">
        <v>29</v>
      </c>
      <c r="K427" t="str">
        <f>VLOOKUP(J427,CountryName!$B:$C,2,TRUE)</f>
        <v>North America</v>
      </c>
      <c r="L427" t="s">
        <v>153</v>
      </c>
    </row>
    <row r="428" spans="1:12" x14ac:dyDescent="0.2">
      <c r="A428" s="1">
        <v>2022</v>
      </c>
      <c r="B428" t="str">
        <f>VLOOKUP(C428,References!$A$5:$B$8,2,TRUE)</f>
        <v>Senior Level</v>
      </c>
      <c r="C428" t="s">
        <v>17</v>
      </c>
      <c r="D428" t="s">
        <v>147</v>
      </c>
      <c r="E428" t="str">
        <f>VLOOKUP(F428,References!$D$1:$F$50,3,TRUE)</f>
        <v>Data Engineer</v>
      </c>
      <c r="F428" t="s">
        <v>43</v>
      </c>
      <c r="G428">
        <v>100800</v>
      </c>
      <c r="H428" t="s">
        <v>29</v>
      </c>
      <c r="I428">
        <v>100</v>
      </c>
      <c r="J428" t="s">
        <v>29</v>
      </c>
      <c r="K428" t="str">
        <f>VLOOKUP(J428,CountryName!$B:$C,2,TRUE)</f>
        <v>North America</v>
      </c>
      <c r="L428" t="s">
        <v>151</v>
      </c>
    </row>
    <row r="429" spans="1:12" x14ac:dyDescent="0.2">
      <c r="A429" s="1">
        <v>2022</v>
      </c>
      <c r="B429" t="str">
        <f>VLOOKUP(C429,References!$A$5:$B$8,2,TRUE)</f>
        <v>Mid level</v>
      </c>
      <c r="C429" t="s">
        <v>11</v>
      </c>
      <c r="D429" t="s">
        <v>147</v>
      </c>
      <c r="E429" t="str">
        <f>VLOOKUP(F429,References!$D$1:$F$50,3,TRUE)</f>
        <v>Data Engineer</v>
      </c>
      <c r="F429" t="s">
        <v>43</v>
      </c>
      <c r="G429">
        <v>49461</v>
      </c>
      <c r="H429" t="s">
        <v>67</v>
      </c>
      <c r="I429">
        <v>100</v>
      </c>
      <c r="J429" t="s">
        <v>67</v>
      </c>
      <c r="K429" t="str">
        <f>VLOOKUP(J429,CountryName!$B:$C,2,TRUE)</f>
        <v>Europe</v>
      </c>
      <c r="L429" t="s">
        <v>153</v>
      </c>
    </row>
    <row r="430" spans="1:12" x14ac:dyDescent="0.2">
      <c r="A430" s="1">
        <v>2022</v>
      </c>
      <c r="B430" t="str">
        <f>VLOOKUP(C430,References!$A$5:$B$8,2,TRUE)</f>
        <v>Senior Level</v>
      </c>
      <c r="C430" t="s">
        <v>17</v>
      </c>
      <c r="D430" t="s">
        <v>147</v>
      </c>
      <c r="E430" t="str">
        <f>VLOOKUP(F430,References!$D$1:$F$50,3,TRUE)</f>
        <v>Data Scientist</v>
      </c>
      <c r="F430" t="s">
        <v>13</v>
      </c>
      <c r="G430">
        <v>140400</v>
      </c>
      <c r="H430" t="s">
        <v>29</v>
      </c>
      <c r="I430">
        <v>0</v>
      </c>
      <c r="J430" t="s">
        <v>29</v>
      </c>
      <c r="K430" t="str">
        <f>VLOOKUP(J430,CountryName!$B:$C,2,TRUE)</f>
        <v>North America</v>
      </c>
      <c r="L430" t="s">
        <v>151</v>
      </c>
    </row>
    <row r="431" spans="1:12" x14ac:dyDescent="0.2">
      <c r="A431" s="1">
        <v>2022</v>
      </c>
      <c r="B431" t="str">
        <f>VLOOKUP(C431,References!$A$5:$B$8,2,TRUE)</f>
        <v>Mid level</v>
      </c>
      <c r="C431" t="s">
        <v>11</v>
      </c>
      <c r="D431" t="s">
        <v>147</v>
      </c>
      <c r="E431" t="str">
        <f>VLOOKUP(F431,References!$D$1:$F$50,3,TRUE)</f>
        <v>Data Analyst</v>
      </c>
      <c r="F431" t="s">
        <v>31</v>
      </c>
      <c r="G431">
        <v>39263</v>
      </c>
      <c r="H431" t="s">
        <v>24</v>
      </c>
      <c r="I431">
        <v>100</v>
      </c>
      <c r="J431" t="s">
        <v>24</v>
      </c>
      <c r="K431" t="str">
        <f>VLOOKUP(J431,CountryName!$B:$C,2,TRUE)</f>
        <v>Europe</v>
      </c>
      <c r="L431" t="s">
        <v>153</v>
      </c>
    </row>
    <row r="432" spans="1:12" x14ac:dyDescent="0.2">
      <c r="A432" s="1">
        <v>2022</v>
      </c>
      <c r="B432" t="str">
        <f>VLOOKUP(C432,References!$A$5:$B$8,2,TRUE)</f>
        <v>Mid level</v>
      </c>
      <c r="C432" t="s">
        <v>11</v>
      </c>
      <c r="D432" t="s">
        <v>147</v>
      </c>
      <c r="E432" t="str">
        <f>VLOOKUP(F432,References!$D$1:$F$50,3,TRUE)</f>
        <v>Data Analyst</v>
      </c>
      <c r="F432" t="s">
        <v>31</v>
      </c>
      <c r="G432">
        <v>43966</v>
      </c>
      <c r="H432" t="s">
        <v>67</v>
      </c>
      <c r="I432">
        <v>100</v>
      </c>
      <c r="J432" t="s">
        <v>67</v>
      </c>
      <c r="K432" t="str">
        <f>VLOOKUP(J432,CountryName!$B:$C,2,TRUE)</f>
        <v>Europe</v>
      </c>
      <c r="L432" t="s">
        <v>153</v>
      </c>
    </row>
    <row r="433" spans="1:12" x14ac:dyDescent="0.2">
      <c r="A433" s="1">
        <v>2022</v>
      </c>
      <c r="B433" t="str">
        <f>VLOOKUP(C433,References!$A$5:$B$8,2,TRUE)</f>
        <v>Mid level</v>
      </c>
      <c r="C433" t="s">
        <v>11</v>
      </c>
      <c r="D433" t="s">
        <v>147</v>
      </c>
      <c r="E433" t="str">
        <f>VLOOKUP(F433,References!$D$1:$F$50,3,TRUE)</f>
        <v>Data Analyst</v>
      </c>
      <c r="F433" t="s">
        <v>31</v>
      </c>
      <c r="G433">
        <v>32974</v>
      </c>
      <c r="H433" t="s">
        <v>67</v>
      </c>
      <c r="I433">
        <v>100</v>
      </c>
      <c r="J433" t="s">
        <v>67</v>
      </c>
      <c r="K433" t="str">
        <f>VLOOKUP(J433,CountryName!$B:$C,2,TRUE)</f>
        <v>Europe</v>
      </c>
      <c r="L433" t="s">
        <v>153</v>
      </c>
    </row>
    <row r="434" spans="1:12" x14ac:dyDescent="0.2">
      <c r="A434" s="1">
        <v>2022</v>
      </c>
      <c r="B434" t="str">
        <f>VLOOKUP(C434,References!$A$5:$B$8,2,TRUE)</f>
        <v>Mid level</v>
      </c>
      <c r="C434" t="s">
        <v>11</v>
      </c>
      <c r="D434" t="s">
        <v>147</v>
      </c>
      <c r="E434" t="str">
        <f>VLOOKUP(F434,References!$D$1:$F$50,3,TRUE)</f>
        <v>Data Engineer</v>
      </c>
      <c r="F434" t="s">
        <v>43</v>
      </c>
      <c r="G434">
        <v>87932</v>
      </c>
      <c r="H434" t="s">
        <v>67</v>
      </c>
      <c r="I434">
        <v>100</v>
      </c>
      <c r="J434" t="s">
        <v>67</v>
      </c>
      <c r="K434" t="str">
        <f>VLOOKUP(J434,CountryName!$B:$C,2,TRUE)</f>
        <v>Europe</v>
      </c>
      <c r="L434" t="s">
        <v>153</v>
      </c>
    </row>
    <row r="435" spans="1:12" x14ac:dyDescent="0.2">
      <c r="A435" s="1">
        <v>2022</v>
      </c>
      <c r="B435" t="str">
        <f>VLOOKUP(C435,References!$A$5:$B$8,2,TRUE)</f>
        <v>Mid level</v>
      </c>
      <c r="C435" t="s">
        <v>11</v>
      </c>
      <c r="D435" t="s">
        <v>147</v>
      </c>
      <c r="E435" t="str">
        <f>VLOOKUP(F435,References!$D$1:$F$50,3,TRUE)</f>
        <v>Data Engineer</v>
      </c>
      <c r="F435" t="s">
        <v>43</v>
      </c>
      <c r="G435">
        <v>76940</v>
      </c>
      <c r="H435" t="s">
        <v>67</v>
      </c>
      <c r="I435">
        <v>100</v>
      </c>
      <c r="J435" t="s">
        <v>67</v>
      </c>
      <c r="K435" t="str">
        <f>VLOOKUP(J435,CountryName!$B:$C,2,TRUE)</f>
        <v>Europe</v>
      </c>
      <c r="L435" t="s">
        <v>153</v>
      </c>
    </row>
    <row r="436" spans="1:12" x14ac:dyDescent="0.2">
      <c r="A436" s="1">
        <v>2022</v>
      </c>
      <c r="B436" t="str">
        <f>VLOOKUP(C436,References!$A$5:$B$8,2,TRUE)</f>
        <v>Mid level</v>
      </c>
      <c r="C436" t="s">
        <v>11</v>
      </c>
      <c r="D436" t="s">
        <v>147</v>
      </c>
      <c r="E436" t="str">
        <f>VLOOKUP(F436,References!$D$1:$F$50,3,TRUE)</f>
        <v>Data Engineer</v>
      </c>
      <c r="F436" t="s">
        <v>43</v>
      </c>
      <c r="G436">
        <v>104702</v>
      </c>
      <c r="H436" t="s">
        <v>24</v>
      </c>
      <c r="I436">
        <v>100</v>
      </c>
      <c r="J436" t="s">
        <v>24</v>
      </c>
      <c r="K436" t="str">
        <f>VLOOKUP(J436,CountryName!$B:$C,2,TRUE)</f>
        <v>Europe</v>
      </c>
      <c r="L436" t="s">
        <v>153</v>
      </c>
    </row>
    <row r="437" spans="1:12" x14ac:dyDescent="0.2">
      <c r="A437" s="1">
        <v>2022</v>
      </c>
      <c r="B437" t="str">
        <f>VLOOKUP(C437,References!$A$5:$B$8,2,TRUE)</f>
        <v>Mid level</v>
      </c>
      <c r="C437" t="s">
        <v>11</v>
      </c>
      <c r="D437" t="s">
        <v>147</v>
      </c>
      <c r="E437" t="str">
        <f>VLOOKUP(F437,References!$D$1:$F$50,3,TRUE)</f>
        <v>Data Engineer</v>
      </c>
      <c r="F437" t="s">
        <v>43</v>
      </c>
      <c r="G437">
        <v>91614</v>
      </c>
      <c r="H437" t="s">
        <v>24</v>
      </c>
      <c r="I437">
        <v>100</v>
      </c>
      <c r="J437" t="s">
        <v>24</v>
      </c>
      <c r="K437" t="str">
        <f>VLOOKUP(J437,CountryName!$B:$C,2,TRUE)</f>
        <v>Europe</v>
      </c>
      <c r="L437" t="s">
        <v>153</v>
      </c>
    </row>
    <row r="438" spans="1:12" x14ac:dyDescent="0.2">
      <c r="A438" s="1">
        <v>2022</v>
      </c>
      <c r="B438" t="str">
        <f>VLOOKUP(C438,References!$A$5:$B$8,2,TRUE)</f>
        <v>Mid level</v>
      </c>
      <c r="C438" t="s">
        <v>11</v>
      </c>
      <c r="D438" t="s">
        <v>147</v>
      </c>
      <c r="E438" t="str">
        <f>VLOOKUP(F438,References!$D$1:$F$50,3,TRUE)</f>
        <v>Data Engineer</v>
      </c>
      <c r="F438" t="s">
        <v>43</v>
      </c>
      <c r="G438">
        <v>65949</v>
      </c>
      <c r="H438" t="s">
        <v>67</v>
      </c>
      <c r="I438">
        <v>100</v>
      </c>
      <c r="J438" t="s">
        <v>67</v>
      </c>
      <c r="K438" t="str">
        <f>VLOOKUP(J438,CountryName!$B:$C,2,TRUE)</f>
        <v>Europe</v>
      </c>
      <c r="L438" t="s">
        <v>153</v>
      </c>
    </row>
    <row r="439" spans="1:12" x14ac:dyDescent="0.2">
      <c r="A439" s="1">
        <v>2022</v>
      </c>
      <c r="B439" t="str">
        <f>VLOOKUP(C439,References!$A$5:$B$8,2,TRUE)</f>
        <v>Mid level</v>
      </c>
      <c r="C439" t="s">
        <v>11</v>
      </c>
      <c r="D439" t="s">
        <v>147</v>
      </c>
      <c r="E439" t="str">
        <f>VLOOKUP(F439,References!$D$1:$F$50,3,TRUE)</f>
        <v>Data Engineer</v>
      </c>
      <c r="F439" t="s">
        <v>43</v>
      </c>
      <c r="G439">
        <v>87932</v>
      </c>
      <c r="H439" t="s">
        <v>50</v>
      </c>
      <c r="I439">
        <v>100</v>
      </c>
      <c r="J439" t="s">
        <v>50</v>
      </c>
      <c r="K439" t="str">
        <f>VLOOKUP(J439,CountryName!$B:$C,2,TRUE)</f>
        <v>Europe</v>
      </c>
      <c r="L439" t="s">
        <v>153</v>
      </c>
    </row>
    <row r="440" spans="1:12" x14ac:dyDescent="0.2">
      <c r="A440" s="1">
        <v>2022</v>
      </c>
      <c r="B440" t="str">
        <f>VLOOKUP(C440,References!$A$5:$B$8,2,TRUE)</f>
        <v>Senior Level</v>
      </c>
      <c r="C440" t="s">
        <v>17</v>
      </c>
      <c r="D440" t="s">
        <v>147</v>
      </c>
      <c r="E440" t="str">
        <f>VLOOKUP(F440,References!$D$1:$F$50,3,TRUE)</f>
        <v>Machine Learning</v>
      </c>
      <c r="F440" t="s">
        <v>28</v>
      </c>
      <c r="G440">
        <v>189650</v>
      </c>
      <c r="H440" t="s">
        <v>29</v>
      </c>
      <c r="I440">
        <v>0</v>
      </c>
      <c r="J440" t="s">
        <v>29</v>
      </c>
      <c r="K440" t="str">
        <f>VLOOKUP(J440,CountryName!$B:$C,2,TRUE)</f>
        <v>North America</v>
      </c>
      <c r="L440" t="s">
        <v>153</v>
      </c>
    </row>
    <row r="441" spans="1:12" x14ac:dyDescent="0.2">
      <c r="A441" s="1">
        <v>2022</v>
      </c>
      <c r="B441" t="str">
        <f>VLOOKUP(C441,References!$A$5:$B$8,2,TRUE)</f>
        <v>Senior Level</v>
      </c>
      <c r="C441" t="s">
        <v>17</v>
      </c>
      <c r="D441" t="s">
        <v>147</v>
      </c>
      <c r="E441" t="str">
        <f>VLOOKUP(F441,References!$D$1:$F$50,3,TRUE)</f>
        <v>Machine Learning</v>
      </c>
      <c r="F441" t="s">
        <v>28</v>
      </c>
      <c r="G441">
        <v>164996</v>
      </c>
      <c r="H441" t="s">
        <v>29</v>
      </c>
      <c r="I441">
        <v>0</v>
      </c>
      <c r="J441" t="s">
        <v>29</v>
      </c>
      <c r="K441" t="str">
        <f>VLOOKUP(J441,CountryName!$B:$C,2,TRUE)</f>
        <v>North America</v>
      </c>
      <c r="L441" t="s">
        <v>153</v>
      </c>
    </row>
    <row r="442" spans="1:12" x14ac:dyDescent="0.2">
      <c r="A442" s="1">
        <v>2022</v>
      </c>
      <c r="B442" t="str">
        <f>VLOOKUP(C442,References!$A$5:$B$8,2,TRUE)</f>
        <v>Mid level</v>
      </c>
      <c r="C442" t="s">
        <v>11</v>
      </c>
      <c r="D442" t="s">
        <v>147</v>
      </c>
      <c r="E442" t="str">
        <f>VLOOKUP(F442,References!$D$1:$F$50,3,TRUE)</f>
        <v>Data Analyst</v>
      </c>
      <c r="F442" t="s">
        <v>31</v>
      </c>
      <c r="G442">
        <v>43966</v>
      </c>
      <c r="H442" t="s">
        <v>50</v>
      </c>
      <c r="I442">
        <v>100</v>
      </c>
      <c r="J442" t="s">
        <v>50</v>
      </c>
      <c r="K442" t="str">
        <f>VLOOKUP(J442,CountryName!$B:$C,2,TRUE)</f>
        <v>Europe</v>
      </c>
      <c r="L442" t="s">
        <v>153</v>
      </c>
    </row>
    <row r="443" spans="1:12" x14ac:dyDescent="0.2">
      <c r="A443" s="1">
        <v>2022</v>
      </c>
      <c r="B443" t="str">
        <f>VLOOKUP(C443,References!$A$5:$B$8,2,TRUE)</f>
        <v>Mid level</v>
      </c>
      <c r="C443" t="s">
        <v>11</v>
      </c>
      <c r="D443" t="s">
        <v>147</v>
      </c>
      <c r="E443" t="str">
        <f>VLOOKUP(F443,References!$D$1:$F$50,3,TRUE)</f>
        <v>Data Analyst</v>
      </c>
      <c r="F443" t="s">
        <v>31</v>
      </c>
      <c r="G443">
        <v>32974</v>
      </c>
      <c r="H443" t="s">
        <v>50</v>
      </c>
      <c r="I443">
        <v>100</v>
      </c>
      <c r="J443" t="s">
        <v>50</v>
      </c>
      <c r="K443" t="str">
        <f>VLOOKUP(J443,CountryName!$B:$C,2,TRUE)</f>
        <v>Europe</v>
      </c>
      <c r="L443" t="s">
        <v>153</v>
      </c>
    </row>
    <row r="444" spans="1:12" x14ac:dyDescent="0.2">
      <c r="A444" s="1">
        <v>2022</v>
      </c>
      <c r="B444" t="str">
        <f>VLOOKUP(C444,References!$A$5:$B$8,2,TRUE)</f>
        <v>Mid level</v>
      </c>
      <c r="C444" t="s">
        <v>11</v>
      </c>
      <c r="D444" t="s">
        <v>147</v>
      </c>
      <c r="E444" t="str">
        <f>VLOOKUP(F444,References!$D$1:$F$50,3,TRUE)</f>
        <v>Data Engineer</v>
      </c>
      <c r="F444" t="s">
        <v>43</v>
      </c>
      <c r="G444">
        <v>98158</v>
      </c>
      <c r="H444" t="s">
        <v>24</v>
      </c>
      <c r="I444">
        <v>100</v>
      </c>
      <c r="J444" t="s">
        <v>24</v>
      </c>
      <c r="K444" t="str">
        <f>VLOOKUP(J444,CountryName!$B:$C,2,TRUE)</f>
        <v>Europe</v>
      </c>
      <c r="L444" t="s">
        <v>153</v>
      </c>
    </row>
    <row r="445" spans="1:12" x14ac:dyDescent="0.2">
      <c r="A445" s="1">
        <v>2022</v>
      </c>
      <c r="B445" t="str">
        <f>VLOOKUP(C445,References!$A$5:$B$8,2,TRUE)</f>
        <v>Mid level</v>
      </c>
      <c r="C445" t="s">
        <v>11</v>
      </c>
      <c r="D445" t="s">
        <v>147</v>
      </c>
      <c r="E445" t="str">
        <f>VLOOKUP(F445,References!$D$1:$F$50,3,TRUE)</f>
        <v>Data Engineer</v>
      </c>
      <c r="F445" t="s">
        <v>43</v>
      </c>
      <c r="G445">
        <v>78526</v>
      </c>
      <c r="H445" t="s">
        <v>24</v>
      </c>
      <c r="I445">
        <v>100</v>
      </c>
      <c r="J445" t="s">
        <v>24</v>
      </c>
      <c r="K445" t="str">
        <f>VLOOKUP(J445,CountryName!$B:$C,2,TRUE)</f>
        <v>Europe</v>
      </c>
      <c r="L445" t="s">
        <v>153</v>
      </c>
    </row>
    <row r="446" spans="1:12" x14ac:dyDescent="0.2">
      <c r="A446" s="1">
        <v>2022</v>
      </c>
      <c r="B446" t="str">
        <f>VLOOKUP(C446,References!$A$5:$B$8,2,TRUE)</f>
        <v>Senior Level</v>
      </c>
      <c r="C446" t="s">
        <v>17</v>
      </c>
      <c r="D446" t="s">
        <v>147</v>
      </c>
      <c r="E446" t="str">
        <f>VLOOKUP(F446,References!$D$1:$F$50,3,TRUE)</f>
        <v>Data Scientist</v>
      </c>
      <c r="F446" t="s">
        <v>13</v>
      </c>
      <c r="G446">
        <v>215300</v>
      </c>
      <c r="H446" t="s">
        <v>29</v>
      </c>
      <c r="I446">
        <v>0</v>
      </c>
      <c r="J446" t="s">
        <v>29</v>
      </c>
      <c r="K446" t="str">
        <f>VLOOKUP(J446,CountryName!$B:$C,2,TRUE)</f>
        <v>North America</v>
      </c>
      <c r="L446" t="s">
        <v>151</v>
      </c>
    </row>
    <row r="447" spans="1:12" x14ac:dyDescent="0.2">
      <c r="A447" s="1">
        <v>2022</v>
      </c>
      <c r="B447" t="str">
        <f>VLOOKUP(C447,References!$A$5:$B$8,2,TRUE)</f>
        <v>Mid level</v>
      </c>
      <c r="C447" t="s">
        <v>11</v>
      </c>
      <c r="D447" t="s">
        <v>147</v>
      </c>
      <c r="E447" t="str">
        <f>VLOOKUP(F447,References!$D$1:$F$50,3,TRUE)</f>
        <v>Data Engineer</v>
      </c>
      <c r="F447" t="s">
        <v>43</v>
      </c>
      <c r="G447">
        <v>76940</v>
      </c>
      <c r="H447" t="s">
        <v>50</v>
      </c>
      <c r="I447">
        <v>100</v>
      </c>
      <c r="J447" t="s">
        <v>50</v>
      </c>
      <c r="K447" t="str">
        <f>VLOOKUP(J447,CountryName!$B:$C,2,TRUE)</f>
        <v>Europe</v>
      </c>
      <c r="L447" t="s">
        <v>153</v>
      </c>
    </row>
    <row r="448" spans="1:12" x14ac:dyDescent="0.2">
      <c r="A448" s="1">
        <v>2022</v>
      </c>
      <c r="B448" t="str">
        <f>VLOOKUP(C448,References!$A$5:$B$8,2,TRUE)</f>
        <v>Senior Level</v>
      </c>
      <c r="C448" t="s">
        <v>17</v>
      </c>
      <c r="D448" t="s">
        <v>147</v>
      </c>
      <c r="E448" t="str">
        <f>VLOOKUP(F448,References!$D$1:$F$50,3,TRUE)</f>
        <v>Data Engineer</v>
      </c>
      <c r="F448" t="s">
        <v>43</v>
      </c>
      <c r="G448">
        <v>209100</v>
      </c>
      <c r="H448" t="s">
        <v>29</v>
      </c>
      <c r="I448">
        <v>100</v>
      </c>
      <c r="J448" t="s">
        <v>29</v>
      </c>
      <c r="K448" t="str">
        <f>VLOOKUP(J448,CountryName!$B:$C,2,TRUE)</f>
        <v>North America</v>
      </c>
      <c r="L448" t="s">
        <v>151</v>
      </c>
    </row>
    <row r="449" spans="1:12" x14ac:dyDescent="0.2">
      <c r="A449" s="1">
        <v>2022</v>
      </c>
      <c r="B449" t="str">
        <f>VLOOKUP(C449,References!$A$5:$B$8,2,TRUE)</f>
        <v>Senior Level</v>
      </c>
      <c r="C449" t="s">
        <v>17</v>
      </c>
      <c r="D449" t="s">
        <v>147</v>
      </c>
      <c r="E449" t="str">
        <f>VLOOKUP(F449,References!$D$1:$F$50,3,TRUE)</f>
        <v>Data Engineer</v>
      </c>
      <c r="F449" t="s">
        <v>43</v>
      </c>
      <c r="G449">
        <v>154600</v>
      </c>
      <c r="H449" t="s">
        <v>29</v>
      </c>
      <c r="I449">
        <v>100</v>
      </c>
      <c r="J449" t="s">
        <v>29</v>
      </c>
      <c r="K449" t="str">
        <f>VLOOKUP(J449,CountryName!$B:$C,2,TRUE)</f>
        <v>North America</v>
      </c>
      <c r="L449" t="s">
        <v>151</v>
      </c>
    </row>
    <row r="450" spans="1:12" x14ac:dyDescent="0.2">
      <c r="A450" s="1">
        <v>2022</v>
      </c>
      <c r="B450" t="str">
        <f>VLOOKUP(C450,References!$A$5:$B$8,2,TRUE)</f>
        <v>Senior Level</v>
      </c>
      <c r="C450" t="s">
        <v>17</v>
      </c>
      <c r="D450" t="s">
        <v>147</v>
      </c>
      <c r="E450" t="str">
        <f>VLOOKUP(F450,References!$D$1:$F$50,3,TRUE)</f>
        <v>Data Engineer</v>
      </c>
      <c r="F450" t="s">
        <v>43</v>
      </c>
      <c r="G450">
        <v>180000</v>
      </c>
      <c r="H450" t="s">
        <v>29</v>
      </c>
      <c r="I450">
        <v>100</v>
      </c>
      <c r="J450" t="s">
        <v>29</v>
      </c>
      <c r="K450" t="str">
        <f>VLOOKUP(J450,CountryName!$B:$C,2,TRUE)</f>
        <v>North America</v>
      </c>
      <c r="L450" t="s">
        <v>153</v>
      </c>
    </row>
    <row r="451" spans="1:12" x14ac:dyDescent="0.2">
      <c r="A451" s="1">
        <v>2022</v>
      </c>
      <c r="B451" t="str">
        <f>VLOOKUP(C451,References!$A$5:$B$8,2,TRUE)</f>
        <v>Entry Level</v>
      </c>
      <c r="C451" t="s">
        <v>30</v>
      </c>
      <c r="D451" t="s">
        <v>147</v>
      </c>
      <c r="E451" t="str">
        <f>VLOOKUP(F451,References!$D$1:$F$50,3,TRUE)</f>
        <v>Machine Learning</v>
      </c>
      <c r="F451" t="s">
        <v>69</v>
      </c>
      <c r="G451">
        <v>21983</v>
      </c>
      <c r="H451" t="s">
        <v>47</v>
      </c>
      <c r="I451">
        <v>100</v>
      </c>
      <c r="J451" t="s">
        <v>47</v>
      </c>
      <c r="K451" t="str">
        <f>VLOOKUP(J451,CountryName!$B:$C,2,TRUE)</f>
        <v>Europe</v>
      </c>
      <c r="L451" t="s">
        <v>151</v>
      </c>
    </row>
    <row r="452" spans="1:12" x14ac:dyDescent="0.2">
      <c r="A452" s="1">
        <v>2022</v>
      </c>
      <c r="B452" t="str">
        <f>VLOOKUP(C452,References!$A$5:$B$8,2,TRUE)</f>
        <v>Senior Level</v>
      </c>
      <c r="C452" t="s">
        <v>17</v>
      </c>
      <c r="D452" t="s">
        <v>147</v>
      </c>
      <c r="E452" t="str">
        <f>VLOOKUP(F452,References!$D$1:$F$50,3,TRUE)</f>
        <v>Data Engineer</v>
      </c>
      <c r="F452" t="s">
        <v>43</v>
      </c>
      <c r="G452">
        <v>80000</v>
      </c>
      <c r="H452" t="s">
        <v>29</v>
      </c>
      <c r="I452">
        <v>100</v>
      </c>
      <c r="J452" t="s">
        <v>29</v>
      </c>
      <c r="K452" t="str">
        <f>VLOOKUP(J452,CountryName!$B:$C,2,TRUE)</f>
        <v>North America</v>
      </c>
      <c r="L452" t="s">
        <v>153</v>
      </c>
    </row>
    <row r="453" spans="1:12" x14ac:dyDescent="0.2">
      <c r="A453" s="1">
        <v>2022</v>
      </c>
      <c r="B453" t="str">
        <f>VLOOKUP(C453,References!$A$5:$B$8,2,TRUE)</f>
        <v>Mid level</v>
      </c>
      <c r="C453" t="s">
        <v>11</v>
      </c>
      <c r="D453" t="s">
        <v>147</v>
      </c>
      <c r="E453" t="str">
        <f>VLOOKUP(F453,References!$D$1:$F$50,3,TRUE)</f>
        <v>Machine Learning</v>
      </c>
      <c r="F453" t="s">
        <v>98</v>
      </c>
      <c r="G453">
        <v>78791</v>
      </c>
      <c r="H453" t="s">
        <v>62</v>
      </c>
      <c r="I453">
        <v>100</v>
      </c>
      <c r="J453" t="s">
        <v>62</v>
      </c>
      <c r="K453" t="str">
        <f>VLOOKUP(J453,CountryName!$B:$C,2,TRUE)</f>
        <v>North America</v>
      </c>
      <c r="L453" t="s">
        <v>153</v>
      </c>
    </row>
    <row r="454" spans="1:12" x14ac:dyDescent="0.2">
      <c r="A454" s="1">
        <v>2022</v>
      </c>
      <c r="B454" t="str">
        <f>VLOOKUP(C454,References!$A$5:$B$8,2,TRUE)</f>
        <v>Expert Level</v>
      </c>
      <c r="C454" t="s">
        <v>53</v>
      </c>
      <c r="D454" t="s">
        <v>147</v>
      </c>
      <c r="E454" t="str">
        <f>VLOOKUP(F454,References!$D$1:$F$50,3,TRUE)</f>
        <v>Manager</v>
      </c>
      <c r="F454" t="s">
        <v>54</v>
      </c>
      <c r="G454">
        <v>196979</v>
      </c>
      <c r="H454" t="s">
        <v>62</v>
      </c>
      <c r="I454">
        <v>50</v>
      </c>
      <c r="J454" t="s">
        <v>62</v>
      </c>
      <c r="K454" t="str">
        <f>VLOOKUP(J454,CountryName!$B:$C,2,TRUE)</f>
        <v>North America</v>
      </c>
      <c r="L454" t="s">
        <v>151</v>
      </c>
    </row>
    <row r="455" spans="1:12" x14ac:dyDescent="0.2">
      <c r="A455" s="1">
        <v>2022</v>
      </c>
      <c r="B455" t="str">
        <f>VLOOKUP(C455,References!$A$5:$B$8,2,TRUE)</f>
        <v>Mid level</v>
      </c>
      <c r="C455" t="s">
        <v>11</v>
      </c>
      <c r="D455" t="s">
        <v>147</v>
      </c>
      <c r="E455" t="str">
        <f>VLOOKUP(F455,References!$D$1:$F$50,3,TRUE)</f>
        <v>Machine Learning</v>
      </c>
      <c r="F455" t="s">
        <v>28</v>
      </c>
      <c r="G455">
        <v>120000</v>
      </c>
      <c r="H455" t="s">
        <v>29</v>
      </c>
      <c r="I455">
        <v>100</v>
      </c>
      <c r="J455" t="s">
        <v>29</v>
      </c>
      <c r="K455" t="str">
        <f>VLOOKUP(J455,CountryName!$B:$C,2,TRUE)</f>
        <v>North America</v>
      </c>
      <c r="L455" t="s">
        <v>152</v>
      </c>
    </row>
    <row r="456" spans="1:12" x14ac:dyDescent="0.2">
      <c r="A456" s="1">
        <v>2022</v>
      </c>
      <c r="B456" t="str">
        <f>VLOOKUP(C456,References!$A$5:$B$8,2,TRUE)</f>
        <v>Entry Level</v>
      </c>
      <c r="C456" t="s">
        <v>30</v>
      </c>
      <c r="D456" t="s">
        <v>147</v>
      </c>
      <c r="E456" t="str">
        <f>VLOOKUP(F456,References!$D$1:$F$50,3,TRUE)</f>
        <v>Data Engineer</v>
      </c>
      <c r="F456" t="s">
        <v>74</v>
      </c>
      <c r="G456">
        <v>125000</v>
      </c>
      <c r="H456" t="s">
        <v>29</v>
      </c>
      <c r="I456">
        <v>0</v>
      </c>
      <c r="J456" t="s">
        <v>29</v>
      </c>
      <c r="K456" t="str">
        <f>VLOOKUP(J456,CountryName!$B:$C,2,TRUE)</f>
        <v>North America</v>
      </c>
      <c r="L456" t="s">
        <v>153</v>
      </c>
    </row>
    <row r="457" spans="1:12" x14ac:dyDescent="0.2">
      <c r="A457" s="1">
        <v>2022</v>
      </c>
      <c r="B457" t="str">
        <f>VLOOKUP(C457,References!$A$5:$B$8,2,TRUE)</f>
        <v>Mid level</v>
      </c>
      <c r="C457" t="s">
        <v>11</v>
      </c>
      <c r="D457" t="s">
        <v>147</v>
      </c>
      <c r="E457" t="str">
        <f>VLOOKUP(F457,References!$D$1:$F$50,3,TRUE)</f>
        <v>Machine Learning</v>
      </c>
      <c r="F457" t="s">
        <v>135</v>
      </c>
      <c r="G457">
        <v>37236</v>
      </c>
      <c r="H457" t="s">
        <v>29</v>
      </c>
      <c r="I457">
        <v>50</v>
      </c>
      <c r="J457" t="s">
        <v>29</v>
      </c>
      <c r="K457" t="str">
        <f>VLOOKUP(J457,CountryName!$B:$C,2,TRUE)</f>
        <v>North America</v>
      </c>
      <c r="L457" t="s">
        <v>151</v>
      </c>
    </row>
    <row r="458" spans="1:12" x14ac:dyDescent="0.2">
      <c r="A458" s="1">
        <v>2022</v>
      </c>
      <c r="B458" t="str">
        <f>VLOOKUP(C458,References!$A$5:$B$8,2,TRUE)</f>
        <v>Senior Level</v>
      </c>
      <c r="C458" t="s">
        <v>17</v>
      </c>
      <c r="D458" t="s">
        <v>147</v>
      </c>
      <c r="E458" t="str">
        <f>VLOOKUP(F458,References!$D$1:$F$50,3,TRUE)</f>
        <v>Data Engineer</v>
      </c>
      <c r="F458" t="s">
        <v>43</v>
      </c>
      <c r="G458">
        <v>105000</v>
      </c>
      <c r="H458" t="s">
        <v>29</v>
      </c>
      <c r="I458">
        <v>100</v>
      </c>
      <c r="J458" t="s">
        <v>29</v>
      </c>
      <c r="K458" t="str">
        <f>VLOOKUP(J458,CountryName!$B:$C,2,TRUE)</f>
        <v>North America</v>
      </c>
      <c r="L458" t="s">
        <v>153</v>
      </c>
    </row>
    <row r="459" spans="1:12" x14ac:dyDescent="0.2">
      <c r="A459" s="1">
        <v>2022</v>
      </c>
      <c r="B459" t="str">
        <f>VLOOKUP(C459,References!$A$5:$B$8,2,TRUE)</f>
        <v>Senior Level</v>
      </c>
      <c r="C459" t="s">
        <v>17</v>
      </c>
      <c r="D459" t="s">
        <v>147</v>
      </c>
      <c r="E459" t="str">
        <f>VLOOKUP(F459,References!$D$1:$F$50,3,TRUE)</f>
        <v>Manager</v>
      </c>
      <c r="F459" t="s">
        <v>136</v>
      </c>
      <c r="G459">
        <v>87932</v>
      </c>
      <c r="H459" t="s">
        <v>15</v>
      </c>
      <c r="I459">
        <v>0</v>
      </c>
      <c r="J459" t="s">
        <v>15</v>
      </c>
      <c r="K459" t="str">
        <f>VLOOKUP(J459,CountryName!$B:$C,2,TRUE)</f>
        <v>Europe</v>
      </c>
      <c r="L459" t="s">
        <v>153</v>
      </c>
    </row>
    <row r="460" spans="1:12" x14ac:dyDescent="0.2">
      <c r="A460" s="1">
        <v>2022</v>
      </c>
      <c r="B460" t="str">
        <f>VLOOKUP(C460,References!$A$5:$B$8,2,TRUE)</f>
        <v>Mid level</v>
      </c>
      <c r="C460" t="s">
        <v>11</v>
      </c>
      <c r="D460" t="s">
        <v>147</v>
      </c>
      <c r="E460" t="str">
        <f>VLOOKUP(F460,References!$D$1:$F$50,3,TRUE)</f>
        <v>Data Analyst</v>
      </c>
      <c r="F460" t="s">
        <v>35</v>
      </c>
      <c r="G460">
        <v>18442</v>
      </c>
      <c r="H460" t="s">
        <v>40</v>
      </c>
      <c r="I460">
        <v>100</v>
      </c>
      <c r="J460" t="s">
        <v>40</v>
      </c>
      <c r="K460" t="str">
        <f>VLOOKUP(J460,CountryName!$B:$C,2,TRUE)</f>
        <v>Asia</v>
      </c>
      <c r="L460" t="s">
        <v>153</v>
      </c>
    </row>
    <row r="461" spans="1:12" x14ac:dyDescent="0.2">
      <c r="A461" s="1">
        <v>2022</v>
      </c>
      <c r="B461" t="str">
        <f>VLOOKUP(C461,References!$A$5:$B$8,2,TRUE)</f>
        <v>Mid level</v>
      </c>
      <c r="C461" t="s">
        <v>11</v>
      </c>
      <c r="D461" t="s">
        <v>147</v>
      </c>
      <c r="E461" t="str">
        <f>VLOOKUP(F461,References!$D$1:$F$50,3,TRUE)</f>
        <v>Data Scientist</v>
      </c>
      <c r="F461" t="s">
        <v>13</v>
      </c>
      <c r="G461">
        <v>31615</v>
      </c>
      <c r="H461" t="s">
        <v>40</v>
      </c>
      <c r="I461">
        <v>100</v>
      </c>
      <c r="J461" t="s">
        <v>40</v>
      </c>
      <c r="K461" t="str">
        <f>VLOOKUP(J461,CountryName!$B:$C,2,TRUE)</f>
        <v>Asia</v>
      </c>
      <c r="L461" t="s">
        <v>151</v>
      </c>
    </row>
    <row r="462" spans="1:12" x14ac:dyDescent="0.2">
      <c r="A462" s="1">
        <v>2022</v>
      </c>
      <c r="B462" t="str">
        <f>VLOOKUP(C462,References!$A$5:$B$8,2,TRUE)</f>
        <v>Mid level</v>
      </c>
      <c r="C462" t="s">
        <v>11</v>
      </c>
      <c r="D462" t="s">
        <v>147</v>
      </c>
      <c r="E462" t="str">
        <f>VLOOKUP(F462,References!$D$1:$F$50,3,TRUE)</f>
        <v>Machine Learning</v>
      </c>
      <c r="F462" t="s">
        <v>68</v>
      </c>
      <c r="G462">
        <v>58255</v>
      </c>
      <c r="H462" t="s">
        <v>47</v>
      </c>
      <c r="I462">
        <v>50</v>
      </c>
      <c r="J462" t="s">
        <v>47</v>
      </c>
      <c r="K462" t="str">
        <f>VLOOKUP(J462,CountryName!$B:$C,2,TRUE)</f>
        <v>Europe</v>
      </c>
      <c r="L462" t="s">
        <v>151</v>
      </c>
    </row>
    <row r="463" spans="1:12" x14ac:dyDescent="0.2">
      <c r="A463" s="1">
        <v>2022</v>
      </c>
      <c r="B463" t="str">
        <f>VLOOKUP(C463,References!$A$5:$B$8,2,TRUE)</f>
        <v>Entry Level</v>
      </c>
      <c r="C463" t="s">
        <v>30</v>
      </c>
      <c r="D463" t="s">
        <v>147</v>
      </c>
      <c r="E463" t="str">
        <f>VLOOKUP(F463,References!$D$1:$F$50,3,TRUE)</f>
        <v>Data Analyst</v>
      </c>
      <c r="F463" t="s">
        <v>92</v>
      </c>
      <c r="G463">
        <v>100000</v>
      </c>
      <c r="H463" t="s">
        <v>29</v>
      </c>
      <c r="I463">
        <v>50</v>
      </c>
      <c r="J463" t="s">
        <v>29</v>
      </c>
      <c r="K463" t="str">
        <f>VLOOKUP(J463,CountryName!$B:$C,2,TRUE)</f>
        <v>North America</v>
      </c>
      <c r="L463" t="s">
        <v>151</v>
      </c>
    </row>
    <row r="464" spans="1:12" x14ac:dyDescent="0.2">
      <c r="A464" s="1">
        <v>2022</v>
      </c>
      <c r="B464" t="str">
        <f>VLOOKUP(C464,References!$A$5:$B$8,2,TRUE)</f>
        <v>Mid level</v>
      </c>
      <c r="C464" t="s">
        <v>11</v>
      </c>
      <c r="D464" t="s">
        <v>150</v>
      </c>
      <c r="E464" t="str">
        <f>VLOOKUP(F464,References!$D$1:$F$50,3,TRUE)</f>
        <v>Data Engineer</v>
      </c>
      <c r="F464" t="s">
        <v>43</v>
      </c>
      <c r="G464">
        <v>54957</v>
      </c>
      <c r="H464" t="s">
        <v>15</v>
      </c>
      <c r="I464">
        <v>50</v>
      </c>
      <c r="J464" t="s">
        <v>15</v>
      </c>
      <c r="K464" t="str">
        <f>VLOOKUP(J464,CountryName!$B:$C,2,TRUE)</f>
        <v>Europe</v>
      </c>
      <c r="L464" t="s">
        <v>151</v>
      </c>
    </row>
    <row r="465" spans="1:12" x14ac:dyDescent="0.2">
      <c r="A465" s="1">
        <v>2022</v>
      </c>
      <c r="B465" t="str">
        <f>VLOOKUP(C465,References!$A$5:$B$8,2,TRUE)</f>
        <v>Entry Level</v>
      </c>
      <c r="C465" t="s">
        <v>30</v>
      </c>
      <c r="D465" t="s">
        <v>147</v>
      </c>
      <c r="E465" t="str">
        <f>VLOOKUP(F465,References!$D$1:$F$50,3,TRUE)</f>
        <v>Data Scientist</v>
      </c>
      <c r="F465" t="s">
        <v>13</v>
      </c>
      <c r="G465">
        <v>18442</v>
      </c>
      <c r="H465" t="s">
        <v>40</v>
      </c>
      <c r="I465">
        <v>100</v>
      </c>
      <c r="J465" t="s">
        <v>40</v>
      </c>
      <c r="K465" t="str">
        <f>VLOOKUP(J465,CountryName!$B:$C,2,TRUE)</f>
        <v>Asia</v>
      </c>
      <c r="L465" t="s">
        <v>153</v>
      </c>
    </row>
    <row r="466" spans="1:12" x14ac:dyDescent="0.2">
      <c r="A466" s="1">
        <v>2022</v>
      </c>
      <c r="B466" t="str">
        <f>VLOOKUP(C466,References!$A$5:$B$8,2,TRUE)</f>
        <v>Senior Level</v>
      </c>
      <c r="C466" t="s">
        <v>17</v>
      </c>
      <c r="D466" t="s">
        <v>147</v>
      </c>
      <c r="E466" t="str">
        <f>VLOOKUP(F466,References!$D$1:$F$50,3,TRUE)</f>
        <v>Scientist</v>
      </c>
      <c r="F466" t="s">
        <v>76</v>
      </c>
      <c r="G466">
        <v>162674</v>
      </c>
      <c r="H466" t="s">
        <v>15</v>
      </c>
      <c r="I466">
        <v>100</v>
      </c>
      <c r="J466" t="s">
        <v>15</v>
      </c>
      <c r="K466" t="str">
        <f>VLOOKUP(J466,CountryName!$B:$C,2,TRUE)</f>
        <v>Europe</v>
      </c>
      <c r="L466" t="s">
        <v>153</v>
      </c>
    </row>
    <row r="467" spans="1:12" x14ac:dyDescent="0.2">
      <c r="A467" s="1">
        <v>2022</v>
      </c>
      <c r="B467" t="str">
        <f>VLOOKUP(C467,References!$A$5:$B$8,2,TRUE)</f>
        <v>Entry Level</v>
      </c>
      <c r="C467" t="s">
        <v>30</v>
      </c>
      <c r="D467" t="s">
        <v>147</v>
      </c>
      <c r="E467" t="str">
        <f>VLOOKUP(F467,References!$D$1:$F$50,3,TRUE)</f>
        <v>Data Engineer</v>
      </c>
      <c r="F467" t="s">
        <v>43</v>
      </c>
      <c r="G467">
        <v>120000</v>
      </c>
      <c r="H467" t="s">
        <v>29</v>
      </c>
      <c r="I467">
        <v>100</v>
      </c>
      <c r="J467" t="s">
        <v>29</v>
      </c>
      <c r="K467" t="str">
        <f>VLOOKUP(J467,CountryName!$B:$C,2,TRUE)</f>
        <v>North America</v>
      </c>
      <c r="L467" t="s">
        <v>153</v>
      </c>
    </row>
    <row r="468" spans="1:12" x14ac:dyDescent="0.2">
      <c r="A468" s="1">
        <v>2022</v>
      </c>
      <c r="B468" t="str">
        <f>VLOOKUP(C468,References!$A$5:$B$8,2,TRUE)</f>
        <v>Senior Level</v>
      </c>
      <c r="C468" t="s">
        <v>17</v>
      </c>
      <c r="D468" t="s">
        <v>147</v>
      </c>
      <c r="E468" t="str">
        <f>VLOOKUP(F468,References!$D$1:$F$50,3,TRUE)</f>
        <v>Scientist</v>
      </c>
      <c r="F468" t="s">
        <v>55</v>
      </c>
      <c r="G468">
        <v>144000</v>
      </c>
      <c r="H468" t="s">
        <v>29</v>
      </c>
      <c r="I468">
        <v>50</v>
      </c>
      <c r="J468" t="s">
        <v>29</v>
      </c>
      <c r="K468" t="str">
        <f>VLOOKUP(J468,CountryName!$B:$C,2,TRUE)</f>
        <v>North America</v>
      </c>
      <c r="L468" t="s">
        <v>151</v>
      </c>
    </row>
    <row r="469" spans="1:12" x14ac:dyDescent="0.2">
      <c r="A469" s="1">
        <v>2022</v>
      </c>
      <c r="B469" t="str">
        <f>VLOOKUP(C469,References!$A$5:$B$8,2,TRUE)</f>
        <v>Senior Level</v>
      </c>
      <c r="C469" t="s">
        <v>17</v>
      </c>
      <c r="D469" t="s">
        <v>147</v>
      </c>
      <c r="E469" t="str">
        <f>VLOOKUP(F469,References!$D$1:$F$50,3,TRUE)</f>
        <v>Data Scientist</v>
      </c>
      <c r="F469" t="s">
        <v>13</v>
      </c>
      <c r="G469">
        <v>104890</v>
      </c>
      <c r="H469" t="s">
        <v>29</v>
      </c>
      <c r="I469">
        <v>100</v>
      </c>
      <c r="J469" t="s">
        <v>29</v>
      </c>
      <c r="K469" t="str">
        <f>VLOOKUP(J469,CountryName!$B:$C,2,TRUE)</f>
        <v>North America</v>
      </c>
      <c r="L469" t="s">
        <v>153</v>
      </c>
    </row>
    <row r="470" spans="1:12" x14ac:dyDescent="0.2">
      <c r="A470" s="1">
        <v>2022</v>
      </c>
      <c r="B470" t="str">
        <f>VLOOKUP(C470,References!$A$5:$B$8,2,TRUE)</f>
        <v>Senior Level</v>
      </c>
      <c r="C470" t="s">
        <v>17</v>
      </c>
      <c r="D470" t="s">
        <v>147</v>
      </c>
      <c r="E470" t="str">
        <f>VLOOKUP(F470,References!$D$1:$F$50,3,TRUE)</f>
        <v>Data Engineer</v>
      </c>
      <c r="F470" t="s">
        <v>43</v>
      </c>
      <c r="G470">
        <v>100000</v>
      </c>
      <c r="H470" t="s">
        <v>29</v>
      </c>
      <c r="I470">
        <v>100</v>
      </c>
      <c r="J470" t="s">
        <v>29</v>
      </c>
      <c r="K470" t="str">
        <f>VLOOKUP(J470,CountryName!$B:$C,2,TRUE)</f>
        <v>North America</v>
      </c>
      <c r="L470" t="s">
        <v>153</v>
      </c>
    </row>
    <row r="471" spans="1:12" x14ac:dyDescent="0.2">
      <c r="A471" s="1">
        <v>2022</v>
      </c>
      <c r="B471" t="str">
        <f>VLOOKUP(C471,References!$A$5:$B$8,2,TRUE)</f>
        <v>Senior Level</v>
      </c>
      <c r="C471" t="s">
        <v>17</v>
      </c>
      <c r="D471" t="s">
        <v>147</v>
      </c>
      <c r="E471" t="str">
        <f>VLOOKUP(F471,References!$D$1:$F$50,3,TRUE)</f>
        <v>Data Scientist</v>
      </c>
      <c r="F471" t="s">
        <v>13</v>
      </c>
      <c r="G471">
        <v>140000</v>
      </c>
      <c r="H471" t="s">
        <v>29</v>
      </c>
      <c r="I471">
        <v>100</v>
      </c>
      <c r="J471" t="s">
        <v>29</v>
      </c>
      <c r="K471" t="str">
        <f>VLOOKUP(J471,CountryName!$B:$C,2,TRUE)</f>
        <v>North America</v>
      </c>
      <c r="L471" t="s">
        <v>153</v>
      </c>
    </row>
    <row r="472" spans="1:12" x14ac:dyDescent="0.2">
      <c r="A472" s="1">
        <v>2022</v>
      </c>
      <c r="B472" t="str">
        <f>VLOOKUP(C472,References!$A$5:$B$8,2,TRUE)</f>
        <v>Mid level</v>
      </c>
      <c r="C472" t="s">
        <v>11</v>
      </c>
      <c r="D472" t="s">
        <v>147</v>
      </c>
      <c r="E472" t="str">
        <f>VLOOKUP(F472,References!$D$1:$F$50,3,TRUE)</f>
        <v>Data Analyst</v>
      </c>
      <c r="F472" t="s">
        <v>31</v>
      </c>
      <c r="G472">
        <v>135000</v>
      </c>
      <c r="H472" t="s">
        <v>29</v>
      </c>
      <c r="I472">
        <v>100</v>
      </c>
      <c r="J472" t="s">
        <v>29</v>
      </c>
      <c r="K472" t="str">
        <f>VLOOKUP(J472,CountryName!$B:$C,2,TRUE)</f>
        <v>North America</v>
      </c>
      <c r="L472" t="s">
        <v>153</v>
      </c>
    </row>
    <row r="473" spans="1:12" x14ac:dyDescent="0.2">
      <c r="A473" s="1">
        <v>2022</v>
      </c>
      <c r="B473" t="str">
        <f>VLOOKUP(C473,References!$A$5:$B$8,2,TRUE)</f>
        <v>Mid level</v>
      </c>
      <c r="C473" t="s">
        <v>11</v>
      </c>
      <c r="D473" t="s">
        <v>147</v>
      </c>
      <c r="E473" t="str">
        <f>VLOOKUP(F473,References!$D$1:$F$50,3,TRUE)</f>
        <v>Data Analyst</v>
      </c>
      <c r="F473" t="s">
        <v>31</v>
      </c>
      <c r="G473">
        <v>50000</v>
      </c>
      <c r="H473" t="s">
        <v>29</v>
      </c>
      <c r="I473">
        <v>100</v>
      </c>
      <c r="J473" t="s">
        <v>29</v>
      </c>
      <c r="K473" t="str">
        <f>VLOOKUP(J473,CountryName!$B:$C,2,TRUE)</f>
        <v>North America</v>
      </c>
      <c r="L473" t="s">
        <v>153</v>
      </c>
    </row>
    <row r="474" spans="1:12" x14ac:dyDescent="0.2">
      <c r="A474" s="1">
        <v>2022</v>
      </c>
      <c r="B474" t="str">
        <f>VLOOKUP(C474,References!$A$5:$B$8,2,TRUE)</f>
        <v>Senior Level</v>
      </c>
      <c r="C474" t="s">
        <v>17</v>
      </c>
      <c r="D474" t="s">
        <v>147</v>
      </c>
      <c r="E474" t="str">
        <f>VLOOKUP(F474,References!$D$1:$F$50,3,TRUE)</f>
        <v>Data Scientist</v>
      </c>
      <c r="F474" t="s">
        <v>13</v>
      </c>
      <c r="G474">
        <v>220000</v>
      </c>
      <c r="H474" t="s">
        <v>29</v>
      </c>
      <c r="I474">
        <v>100</v>
      </c>
      <c r="J474" t="s">
        <v>29</v>
      </c>
      <c r="K474" t="str">
        <f>VLOOKUP(J474,CountryName!$B:$C,2,TRUE)</f>
        <v>North America</v>
      </c>
      <c r="L474" t="s">
        <v>153</v>
      </c>
    </row>
    <row r="475" spans="1:12" x14ac:dyDescent="0.2">
      <c r="A475" s="1">
        <v>2022</v>
      </c>
      <c r="B475" t="str">
        <f>VLOOKUP(C475,References!$A$5:$B$8,2,TRUE)</f>
        <v>Senior Level</v>
      </c>
      <c r="C475" t="s">
        <v>17</v>
      </c>
      <c r="D475" t="s">
        <v>147</v>
      </c>
      <c r="E475" t="str">
        <f>VLOOKUP(F475,References!$D$1:$F$50,3,TRUE)</f>
        <v>Data Scientist</v>
      </c>
      <c r="F475" t="s">
        <v>13</v>
      </c>
      <c r="G475">
        <v>140000</v>
      </c>
      <c r="H475" t="s">
        <v>29</v>
      </c>
      <c r="I475">
        <v>100</v>
      </c>
      <c r="J475" t="s">
        <v>29</v>
      </c>
      <c r="K475" t="str">
        <f>VLOOKUP(J475,CountryName!$B:$C,2,TRUE)</f>
        <v>North America</v>
      </c>
      <c r="L475" t="s">
        <v>153</v>
      </c>
    </row>
    <row r="476" spans="1:12" x14ac:dyDescent="0.2">
      <c r="A476" s="1">
        <v>2022</v>
      </c>
      <c r="B476" t="str">
        <f>VLOOKUP(C476,References!$A$5:$B$8,2,TRUE)</f>
        <v>Mid level</v>
      </c>
      <c r="C476" t="s">
        <v>11</v>
      </c>
      <c r="D476" t="s">
        <v>147</v>
      </c>
      <c r="E476" t="str">
        <f>VLOOKUP(F476,References!$D$1:$F$50,3,TRUE)</f>
        <v>Data Scientist</v>
      </c>
      <c r="F476" t="s">
        <v>13</v>
      </c>
      <c r="G476">
        <v>183228</v>
      </c>
      <c r="H476" t="s">
        <v>24</v>
      </c>
      <c r="I476">
        <v>0</v>
      </c>
      <c r="J476" t="s">
        <v>24</v>
      </c>
      <c r="K476" t="str">
        <f>VLOOKUP(J476,CountryName!$B:$C,2,TRUE)</f>
        <v>Europe</v>
      </c>
      <c r="L476" t="s">
        <v>153</v>
      </c>
    </row>
    <row r="477" spans="1:12" x14ac:dyDescent="0.2">
      <c r="A477" s="1">
        <v>2022</v>
      </c>
      <c r="B477" t="str">
        <f>VLOOKUP(C477,References!$A$5:$B$8,2,TRUE)</f>
        <v>Mid level</v>
      </c>
      <c r="C477" t="s">
        <v>11</v>
      </c>
      <c r="D477" t="s">
        <v>147</v>
      </c>
      <c r="E477" t="str">
        <f>VLOOKUP(F477,References!$D$1:$F$50,3,TRUE)</f>
        <v>Data Scientist</v>
      </c>
      <c r="F477" t="s">
        <v>13</v>
      </c>
      <c r="G477">
        <v>91614</v>
      </c>
      <c r="H477" t="s">
        <v>24</v>
      </c>
      <c r="I477">
        <v>0</v>
      </c>
      <c r="J477" t="s">
        <v>24</v>
      </c>
      <c r="K477" t="str">
        <f>VLOOKUP(J477,CountryName!$B:$C,2,TRUE)</f>
        <v>Europe</v>
      </c>
      <c r="L477" t="s">
        <v>153</v>
      </c>
    </row>
    <row r="478" spans="1:12" x14ac:dyDescent="0.2">
      <c r="A478" s="1">
        <v>2022</v>
      </c>
      <c r="B478" t="str">
        <f>VLOOKUP(C478,References!$A$5:$B$8,2,TRUE)</f>
        <v>Senior Level</v>
      </c>
      <c r="C478" t="s">
        <v>17</v>
      </c>
      <c r="D478" t="s">
        <v>147</v>
      </c>
      <c r="E478" t="str">
        <f>VLOOKUP(F478,References!$D$1:$F$50,3,TRUE)</f>
        <v>Data Scientist</v>
      </c>
      <c r="F478" t="s">
        <v>13</v>
      </c>
      <c r="G478">
        <v>185100</v>
      </c>
      <c r="H478" t="s">
        <v>29</v>
      </c>
      <c r="I478">
        <v>100</v>
      </c>
      <c r="J478" t="s">
        <v>29</v>
      </c>
      <c r="K478" t="str">
        <f>VLOOKUP(J478,CountryName!$B:$C,2,TRUE)</f>
        <v>North America</v>
      </c>
      <c r="L478" t="s">
        <v>153</v>
      </c>
    </row>
    <row r="479" spans="1:12" x14ac:dyDescent="0.2">
      <c r="A479" s="1">
        <v>2022</v>
      </c>
      <c r="B479" t="str">
        <f>VLOOKUP(C479,References!$A$5:$B$8,2,TRUE)</f>
        <v>Senior Level</v>
      </c>
      <c r="C479" t="s">
        <v>17</v>
      </c>
      <c r="D479" t="s">
        <v>147</v>
      </c>
      <c r="E479" t="str">
        <f>VLOOKUP(F479,References!$D$1:$F$50,3,TRUE)</f>
        <v>Machine Learning</v>
      </c>
      <c r="F479" t="s">
        <v>28</v>
      </c>
      <c r="G479">
        <v>220000</v>
      </c>
      <c r="H479" t="s">
        <v>29</v>
      </c>
      <c r="I479">
        <v>100</v>
      </c>
      <c r="J479" t="s">
        <v>29</v>
      </c>
      <c r="K479" t="str">
        <f>VLOOKUP(J479,CountryName!$B:$C,2,TRUE)</f>
        <v>North America</v>
      </c>
      <c r="L479" t="s">
        <v>153</v>
      </c>
    </row>
    <row r="480" spans="1:12" x14ac:dyDescent="0.2">
      <c r="A480" s="1">
        <v>2022</v>
      </c>
      <c r="B480" t="str">
        <f>VLOOKUP(C480,References!$A$5:$B$8,2,TRUE)</f>
        <v>Mid level</v>
      </c>
      <c r="C480" t="s">
        <v>11</v>
      </c>
      <c r="D480" t="s">
        <v>147</v>
      </c>
      <c r="E480" t="str">
        <f>VLOOKUP(F480,References!$D$1:$F$50,3,TRUE)</f>
        <v>Data Scientist</v>
      </c>
      <c r="F480" t="s">
        <v>13</v>
      </c>
      <c r="G480">
        <v>200000</v>
      </c>
      <c r="H480" t="s">
        <v>29</v>
      </c>
      <c r="I480">
        <v>100</v>
      </c>
      <c r="J480" t="s">
        <v>29</v>
      </c>
      <c r="K480" t="str">
        <f>VLOOKUP(J480,CountryName!$B:$C,2,TRUE)</f>
        <v>North America</v>
      </c>
      <c r="L480" t="s">
        <v>153</v>
      </c>
    </row>
    <row r="481" spans="1:12" x14ac:dyDescent="0.2">
      <c r="A481" s="1">
        <v>2022</v>
      </c>
      <c r="B481" t="str">
        <f>VLOOKUP(C481,References!$A$5:$B$8,2,TRUE)</f>
        <v>Mid level</v>
      </c>
      <c r="C481" t="s">
        <v>11</v>
      </c>
      <c r="D481" t="s">
        <v>147</v>
      </c>
      <c r="E481" t="str">
        <f>VLOOKUP(F481,References!$D$1:$F$50,3,TRUE)</f>
        <v>Data Scientist</v>
      </c>
      <c r="F481" t="s">
        <v>13</v>
      </c>
      <c r="G481">
        <v>120000</v>
      </c>
      <c r="H481" t="s">
        <v>29</v>
      </c>
      <c r="I481">
        <v>100</v>
      </c>
      <c r="J481" t="s">
        <v>29</v>
      </c>
      <c r="K481" t="str">
        <f>VLOOKUP(J481,CountryName!$B:$C,2,TRUE)</f>
        <v>North America</v>
      </c>
      <c r="L481" t="s">
        <v>153</v>
      </c>
    </row>
    <row r="482" spans="1:12" x14ac:dyDescent="0.2">
      <c r="A482" s="1">
        <v>2022</v>
      </c>
      <c r="B482" t="str">
        <f>VLOOKUP(C482,References!$A$5:$B$8,2,TRUE)</f>
        <v>Senior Level</v>
      </c>
      <c r="C482" t="s">
        <v>17</v>
      </c>
      <c r="D482" t="s">
        <v>147</v>
      </c>
      <c r="E482" t="str">
        <f>VLOOKUP(F482,References!$D$1:$F$50,3,TRUE)</f>
        <v>Machine Learning</v>
      </c>
      <c r="F482" t="s">
        <v>28</v>
      </c>
      <c r="G482">
        <v>120000</v>
      </c>
      <c r="H482" t="s">
        <v>52</v>
      </c>
      <c r="I482">
        <v>100</v>
      </c>
      <c r="J482" t="s">
        <v>52</v>
      </c>
      <c r="K482" t="str">
        <f>VLOOKUP(J482,CountryName!$B:$C,2,TRUE)</f>
        <v>Asia</v>
      </c>
      <c r="L482" t="s">
        <v>152</v>
      </c>
    </row>
    <row r="483" spans="1:12" x14ac:dyDescent="0.2">
      <c r="A483" s="1">
        <v>2022</v>
      </c>
      <c r="B483" t="str">
        <f>VLOOKUP(C483,References!$A$5:$B$8,2,TRUE)</f>
        <v>Senior Level</v>
      </c>
      <c r="C483" t="s">
        <v>17</v>
      </c>
      <c r="D483" t="s">
        <v>147</v>
      </c>
      <c r="E483" t="str">
        <f>VLOOKUP(F483,References!$D$1:$F$50,3,TRUE)</f>
        <v>Machine Learning</v>
      </c>
      <c r="F483" t="s">
        <v>28</v>
      </c>
      <c r="G483">
        <v>65000</v>
      </c>
      <c r="H483" t="s">
        <v>52</v>
      </c>
      <c r="I483">
        <v>100</v>
      </c>
      <c r="J483" t="s">
        <v>52</v>
      </c>
      <c r="K483" t="str">
        <f>VLOOKUP(J483,CountryName!$B:$C,2,TRUE)</f>
        <v>Asia</v>
      </c>
      <c r="L483" t="s">
        <v>152</v>
      </c>
    </row>
    <row r="484" spans="1:12" x14ac:dyDescent="0.2">
      <c r="A484" s="1">
        <v>2022</v>
      </c>
      <c r="B484" t="str">
        <f>VLOOKUP(C484,References!$A$5:$B$8,2,TRUE)</f>
        <v>Expert Level</v>
      </c>
      <c r="C484" t="s">
        <v>53</v>
      </c>
      <c r="D484" t="s">
        <v>147</v>
      </c>
      <c r="E484" t="str">
        <f>VLOOKUP(F484,References!$D$1:$F$50,3,TRUE)</f>
        <v>Data Engineer</v>
      </c>
      <c r="F484" t="s">
        <v>43</v>
      </c>
      <c r="G484">
        <v>324000</v>
      </c>
      <c r="H484" t="s">
        <v>29</v>
      </c>
      <c r="I484">
        <v>100</v>
      </c>
      <c r="J484" t="s">
        <v>29</v>
      </c>
      <c r="K484" t="str">
        <f>VLOOKUP(J484,CountryName!$B:$C,2,TRUE)</f>
        <v>North America</v>
      </c>
      <c r="L484" t="s">
        <v>153</v>
      </c>
    </row>
    <row r="485" spans="1:12" x14ac:dyDescent="0.2">
      <c r="A485" s="1">
        <v>2022</v>
      </c>
      <c r="B485" t="str">
        <f>VLOOKUP(C485,References!$A$5:$B$8,2,TRUE)</f>
        <v>Expert Level</v>
      </c>
      <c r="C485" t="s">
        <v>53</v>
      </c>
      <c r="D485" t="s">
        <v>147</v>
      </c>
      <c r="E485" t="str">
        <f>VLOOKUP(F485,References!$D$1:$F$50,3,TRUE)</f>
        <v>Data Engineer</v>
      </c>
      <c r="F485" t="s">
        <v>43</v>
      </c>
      <c r="G485">
        <v>216000</v>
      </c>
      <c r="H485" t="s">
        <v>29</v>
      </c>
      <c r="I485">
        <v>100</v>
      </c>
      <c r="J485" t="s">
        <v>29</v>
      </c>
      <c r="K485" t="str">
        <f>VLOOKUP(J485,CountryName!$B:$C,2,TRUE)</f>
        <v>North America</v>
      </c>
      <c r="L485" t="s">
        <v>153</v>
      </c>
    </row>
    <row r="486" spans="1:12" x14ac:dyDescent="0.2">
      <c r="A486" s="1">
        <v>2022</v>
      </c>
      <c r="B486" t="str">
        <f>VLOOKUP(C486,References!$A$5:$B$8,2,TRUE)</f>
        <v>Senior Level</v>
      </c>
      <c r="C486" t="s">
        <v>17</v>
      </c>
      <c r="D486" t="s">
        <v>147</v>
      </c>
      <c r="E486" t="str">
        <f>VLOOKUP(F486,References!$D$1:$F$50,3,TRUE)</f>
        <v>Data Engineer</v>
      </c>
      <c r="F486" t="s">
        <v>43</v>
      </c>
      <c r="G486">
        <v>210000</v>
      </c>
      <c r="H486" t="s">
        <v>29</v>
      </c>
      <c r="I486">
        <v>100</v>
      </c>
      <c r="J486" t="s">
        <v>29</v>
      </c>
      <c r="K486" t="str">
        <f>VLOOKUP(J486,CountryName!$B:$C,2,TRUE)</f>
        <v>North America</v>
      </c>
      <c r="L486" t="s">
        <v>153</v>
      </c>
    </row>
    <row r="487" spans="1:12" x14ac:dyDescent="0.2">
      <c r="A487" s="1">
        <v>2022</v>
      </c>
      <c r="B487" t="str">
        <f>VLOOKUP(C487,References!$A$5:$B$8,2,TRUE)</f>
        <v>Senior Level</v>
      </c>
      <c r="C487" t="s">
        <v>17</v>
      </c>
      <c r="D487" t="s">
        <v>147</v>
      </c>
      <c r="E487" t="str">
        <f>VLOOKUP(F487,References!$D$1:$F$50,3,TRUE)</f>
        <v>Machine Learning</v>
      </c>
      <c r="F487" t="s">
        <v>28</v>
      </c>
      <c r="G487">
        <v>120000</v>
      </c>
      <c r="H487" t="s">
        <v>29</v>
      </c>
      <c r="I487">
        <v>100</v>
      </c>
      <c r="J487" t="s">
        <v>29</v>
      </c>
      <c r="K487" t="str">
        <f>VLOOKUP(J487,CountryName!$B:$C,2,TRUE)</f>
        <v>North America</v>
      </c>
      <c r="L487" t="s">
        <v>153</v>
      </c>
    </row>
    <row r="488" spans="1:12" x14ac:dyDescent="0.2">
      <c r="A488" s="1">
        <v>2022</v>
      </c>
      <c r="B488" t="str">
        <f>VLOOKUP(C488,References!$A$5:$B$8,2,TRUE)</f>
        <v>Senior Level</v>
      </c>
      <c r="C488" t="s">
        <v>17</v>
      </c>
      <c r="D488" t="s">
        <v>147</v>
      </c>
      <c r="E488" t="str">
        <f>VLOOKUP(F488,References!$D$1:$F$50,3,TRUE)</f>
        <v>Data Scientist</v>
      </c>
      <c r="F488" t="s">
        <v>13</v>
      </c>
      <c r="G488">
        <v>230000</v>
      </c>
      <c r="H488" t="s">
        <v>29</v>
      </c>
      <c r="I488">
        <v>100</v>
      </c>
      <c r="J488" t="s">
        <v>29</v>
      </c>
      <c r="K488" t="str">
        <f>VLOOKUP(J488,CountryName!$B:$C,2,TRUE)</f>
        <v>North America</v>
      </c>
      <c r="L488" t="s">
        <v>153</v>
      </c>
    </row>
    <row r="489" spans="1:12" x14ac:dyDescent="0.2">
      <c r="A489" s="1">
        <v>2022</v>
      </c>
      <c r="B489" t="str">
        <f>VLOOKUP(C489,References!$A$5:$B$8,2,TRUE)</f>
        <v>Entry Level</v>
      </c>
      <c r="C489" t="s">
        <v>30</v>
      </c>
      <c r="D489" t="s">
        <v>150</v>
      </c>
      <c r="E489" t="str">
        <f>VLOOKUP(F489,References!$D$1:$F$50,3,TRUE)</f>
        <v>Data Scientist</v>
      </c>
      <c r="F489" t="s">
        <v>13</v>
      </c>
      <c r="G489">
        <v>100000</v>
      </c>
      <c r="H489" t="s">
        <v>137</v>
      </c>
      <c r="I489">
        <v>50</v>
      </c>
      <c r="J489" t="s">
        <v>137</v>
      </c>
      <c r="K489" t="str">
        <f>VLOOKUP(J489,CountryName!$B:$C,2,TRUE)</f>
        <v>Africa</v>
      </c>
      <c r="L489" t="s">
        <v>153</v>
      </c>
    </row>
    <row r="490" spans="1:12" x14ac:dyDescent="0.2">
      <c r="A490" s="1">
        <v>2022</v>
      </c>
      <c r="B490" t="str">
        <f>VLOOKUP(C490,References!$A$5:$B$8,2,TRUE)</f>
        <v>Mid level</v>
      </c>
      <c r="C490" t="s">
        <v>11</v>
      </c>
      <c r="D490" t="s">
        <v>149</v>
      </c>
      <c r="E490" t="str">
        <f>VLOOKUP(F490,References!$D$1:$F$50,3,TRUE)</f>
        <v>Data Scientist</v>
      </c>
      <c r="F490" t="s">
        <v>13</v>
      </c>
      <c r="G490">
        <v>100000</v>
      </c>
      <c r="H490" t="s">
        <v>62</v>
      </c>
      <c r="I490">
        <v>100</v>
      </c>
      <c r="J490" t="s">
        <v>29</v>
      </c>
      <c r="K490" t="str">
        <f>VLOOKUP(J490,CountryName!$B:$C,2,TRUE)</f>
        <v>North America</v>
      </c>
      <c r="L490" t="s">
        <v>153</v>
      </c>
    </row>
    <row r="491" spans="1:12" x14ac:dyDescent="0.2">
      <c r="A491" s="1">
        <v>2022</v>
      </c>
      <c r="B491" t="str">
        <f>VLOOKUP(C491,References!$A$5:$B$8,2,TRUE)</f>
        <v>Entry Level</v>
      </c>
      <c r="C491" t="s">
        <v>30</v>
      </c>
      <c r="D491" t="s">
        <v>148</v>
      </c>
      <c r="E491" t="str">
        <f>VLOOKUP(F491,References!$D$1:$F$50,3,TRUE)</f>
        <v>Data Scientist</v>
      </c>
      <c r="F491" t="s">
        <v>100</v>
      </c>
      <c r="G491">
        <v>31875</v>
      </c>
      <c r="H491" t="s">
        <v>138</v>
      </c>
      <c r="I491">
        <v>100</v>
      </c>
      <c r="J491" t="s">
        <v>130</v>
      </c>
      <c r="K491" t="str">
        <f>VLOOKUP(J491,CountryName!$B:$C,2,TRUE)</f>
        <v>Europe</v>
      </c>
      <c r="L491" t="s">
        <v>153</v>
      </c>
    </row>
    <row r="492" spans="1:12" x14ac:dyDescent="0.2">
      <c r="A492" s="1">
        <v>2022</v>
      </c>
      <c r="B492" t="str">
        <f>VLOOKUP(C492,References!$A$5:$B$8,2,TRUE)</f>
        <v>Senior Level</v>
      </c>
      <c r="C492" t="s">
        <v>17</v>
      </c>
      <c r="D492" t="s">
        <v>147</v>
      </c>
      <c r="E492" t="str">
        <f>VLOOKUP(F492,References!$D$1:$F$50,3,TRUE)</f>
        <v>Manager</v>
      </c>
      <c r="F492" t="s">
        <v>81</v>
      </c>
      <c r="G492">
        <v>200000</v>
      </c>
      <c r="H492" t="s">
        <v>139</v>
      </c>
      <c r="I492">
        <v>100</v>
      </c>
      <c r="J492" t="s">
        <v>29</v>
      </c>
      <c r="K492" t="str">
        <f>VLOOKUP(J492,CountryName!$B:$C,2,TRUE)</f>
        <v>North America</v>
      </c>
      <c r="L492" t="s">
        <v>153</v>
      </c>
    </row>
    <row r="493" spans="1:12" x14ac:dyDescent="0.2">
      <c r="A493" s="1">
        <v>2022</v>
      </c>
      <c r="B493" t="str">
        <f>VLOOKUP(C493,References!$A$5:$B$8,2,TRUE)</f>
        <v>Mid level</v>
      </c>
      <c r="C493" t="s">
        <v>11</v>
      </c>
      <c r="D493" t="s">
        <v>147</v>
      </c>
      <c r="E493" t="str">
        <f>VLOOKUP(F493,References!$D$1:$F$50,3,TRUE)</f>
        <v>Data Analyst</v>
      </c>
      <c r="F493" t="s">
        <v>124</v>
      </c>
      <c r="G493">
        <v>75000</v>
      </c>
      <c r="H493" t="s">
        <v>62</v>
      </c>
      <c r="I493">
        <v>100</v>
      </c>
      <c r="J493" t="s">
        <v>62</v>
      </c>
      <c r="K493" t="str">
        <f>VLOOKUP(J493,CountryName!$B:$C,2,TRUE)</f>
        <v>North America</v>
      </c>
      <c r="L493" t="s">
        <v>152</v>
      </c>
    </row>
    <row r="494" spans="1:12" x14ac:dyDescent="0.2">
      <c r="A494" s="1">
        <v>2022</v>
      </c>
      <c r="B494" t="str">
        <f>VLOOKUP(C494,References!$A$5:$B$8,2,TRUE)</f>
        <v>Mid level</v>
      </c>
      <c r="C494" t="s">
        <v>11</v>
      </c>
      <c r="D494" t="s">
        <v>147</v>
      </c>
      <c r="E494" t="str">
        <f>VLOOKUP(F494,References!$D$1:$F$50,3,TRUE)</f>
        <v>Data Scientist</v>
      </c>
      <c r="F494" t="s">
        <v>13</v>
      </c>
      <c r="G494">
        <v>35590</v>
      </c>
      <c r="H494" t="s">
        <v>45</v>
      </c>
      <c r="I494">
        <v>100</v>
      </c>
      <c r="J494" t="s">
        <v>45</v>
      </c>
      <c r="K494" t="str">
        <f>VLOOKUP(J494,CountryName!$B:$C,2,TRUE)</f>
        <v>Europe</v>
      </c>
      <c r="L494" t="s">
        <v>151</v>
      </c>
    </row>
    <row r="495" spans="1:12" x14ac:dyDescent="0.2">
      <c r="A495" s="1">
        <v>2022</v>
      </c>
      <c r="B495" t="str">
        <f>VLOOKUP(C495,References!$A$5:$B$8,2,TRUE)</f>
        <v>Senior Level</v>
      </c>
      <c r="C495" t="s">
        <v>17</v>
      </c>
      <c r="D495" t="s">
        <v>147</v>
      </c>
      <c r="E495" t="str">
        <f>VLOOKUP(F495,References!$D$1:$F$50,3,TRUE)</f>
        <v>Machine Learning</v>
      </c>
      <c r="F495" t="s">
        <v>98</v>
      </c>
      <c r="G495">
        <v>78791</v>
      </c>
      <c r="H495" t="s">
        <v>62</v>
      </c>
      <c r="I495">
        <v>100</v>
      </c>
      <c r="J495" t="s">
        <v>62</v>
      </c>
      <c r="K495" t="str">
        <f>VLOOKUP(J495,CountryName!$B:$C,2,TRUE)</f>
        <v>North America</v>
      </c>
      <c r="L495" t="s">
        <v>153</v>
      </c>
    </row>
    <row r="496" spans="1:12" x14ac:dyDescent="0.2">
      <c r="A496" s="1">
        <v>2022</v>
      </c>
      <c r="B496" t="str">
        <f>VLOOKUP(C496,References!$A$5:$B$8,2,TRUE)</f>
        <v>Senior Level</v>
      </c>
      <c r="C496" t="s">
        <v>17</v>
      </c>
      <c r="D496" t="s">
        <v>147</v>
      </c>
      <c r="E496" t="str">
        <f>VLOOKUP(F496,References!$D$1:$F$50,3,TRUE)</f>
        <v>Data Scientist</v>
      </c>
      <c r="F496" t="s">
        <v>13</v>
      </c>
      <c r="G496">
        <v>100000</v>
      </c>
      <c r="H496" t="s">
        <v>91</v>
      </c>
      <c r="I496">
        <v>100</v>
      </c>
      <c r="J496" t="s">
        <v>29</v>
      </c>
      <c r="K496" t="str">
        <f>VLOOKUP(J496,CountryName!$B:$C,2,TRUE)</f>
        <v>North America</v>
      </c>
      <c r="L496" t="s">
        <v>153</v>
      </c>
    </row>
    <row r="497" spans="1:12" x14ac:dyDescent="0.2">
      <c r="A497" s="1">
        <v>2022</v>
      </c>
      <c r="B497" t="str">
        <f>VLOOKUP(C497,References!$A$5:$B$8,2,TRUE)</f>
        <v>Mid level</v>
      </c>
      <c r="C497" t="s">
        <v>11</v>
      </c>
      <c r="D497" t="s">
        <v>147</v>
      </c>
      <c r="E497" t="str">
        <f>VLOOKUP(F497,References!$D$1:$F$50,3,TRUE)</f>
        <v>Scientist</v>
      </c>
      <c r="F497" t="s">
        <v>18</v>
      </c>
      <c r="G497">
        <v>153000</v>
      </c>
      <c r="H497" t="s">
        <v>29</v>
      </c>
      <c r="I497">
        <v>50</v>
      </c>
      <c r="J497" t="s">
        <v>29</v>
      </c>
      <c r="K497" t="str">
        <f>VLOOKUP(J497,CountryName!$B:$C,2,TRUE)</f>
        <v>North America</v>
      </c>
      <c r="L497" t="s">
        <v>153</v>
      </c>
    </row>
    <row r="498" spans="1:12" x14ac:dyDescent="0.2">
      <c r="A498" s="1">
        <v>2022</v>
      </c>
      <c r="B498" t="str">
        <f>VLOOKUP(C498,References!$A$5:$B$8,2,TRUE)</f>
        <v>Entry Level</v>
      </c>
      <c r="C498" t="s">
        <v>30</v>
      </c>
      <c r="D498" t="s">
        <v>147</v>
      </c>
      <c r="E498" t="str">
        <f>VLOOKUP(F498,References!$D$1:$F$50,3,TRUE)</f>
        <v>Data Engineer</v>
      </c>
      <c r="F498" t="s">
        <v>43</v>
      </c>
      <c r="G498">
        <v>58035</v>
      </c>
      <c r="H498" t="s">
        <v>42</v>
      </c>
      <c r="I498">
        <v>100</v>
      </c>
      <c r="J498" t="s">
        <v>15</v>
      </c>
      <c r="K498" t="str">
        <f>VLOOKUP(J498,CountryName!$B:$C,2,TRUE)</f>
        <v>Europe</v>
      </c>
      <c r="L498" t="s">
        <v>153</v>
      </c>
    </row>
    <row r="499" spans="1:12" x14ac:dyDescent="0.2">
      <c r="A499" s="1">
        <v>2022</v>
      </c>
      <c r="B499" t="str">
        <f>VLOOKUP(C499,References!$A$5:$B$8,2,TRUE)</f>
        <v>Senior Level</v>
      </c>
      <c r="C499" t="s">
        <v>17</v>
      </c>
      <c r="D499" t="s">
        <v>147</v>
      </c>
      <c r="E499" t="str">
        <f>VLOOKUP(F499,References!$D$1:$F$50,3,TRUE)</f>
        <v>Data Scientist</v>
      </c>
      <c r="F499" t="s">
        <v>13</v>
      </c>
      <c r="G499">
        <v>165000</v>
      </c>
      <c r="H499" t="s">
        <v>29</v>
      </c>
      <c r="I499">
        <v>100</v>
      </c>
      <c r="J499" t="s">
        <v>29</v>
      </c>
      <c r="K499" t="str">
        <f>VLOOKUP(J499,CountryName!$B:$C,2,TRUE)</f>
        <v>North America</v>
      </c>
      <c r="L499" t="s">
        <v>153</v>
      </c>
    </row>
    <row r="500" spans="1:12" x14ac:dyDescent="0.2">
      <c r="A500" s="1">
        <v>2022</v>
      </c>
      <c r="B500" t="str">
        <f>VLOOKUP(C500,References!$A$5:$B$8,2,TRUE)</f>
        <v>Senior Level</v>
      </c>
      <c r="C500" t="s">
        <v>17</v>
      </c>
      <c r="D500" t="s">
        <v>147</v>
      </c>
      <c r="E500" t="str">
        <f>VLOOKUP(F500,References!$D$1:$F$50,3,TRUE)</f>
        <v>Scientist</v>
      </c>
      <c r="F500" t="s">
        <v>55</v>
      </c>
      <c r="G500">
        <v>93427</v>
      </c>
      <c r="H500" t="s">
        <v>38</v>
      </c>
      <c r="I500">
        <v>50</v>
      </c>
      <c r="J500" t="s">
        <v>38</v>
      </c>
      <c r="K500" t="str">
        <f>VLOOKUP(J500,CountryName!$B:$C,2,TRUE)</f>
        <v>Europe</v>
      </c>
      <c r="L500" t="s">
        <v>151</v>
      </c>
    </row>
    <row r="501" spans="1:12" x14ac:dyDescent="0.2">
      <c r="A501" s="1">
        <v>2022</v>
      </c>
      <c r="B501" t="str">
        <f>VLOOKUP(C501,References!$A$5:$B$8,2,TRUE)</f>
        <v>Entry Level</v>
      </c>
      <c r="C501" t="s">
        <v>30</v>
      </c>
      <c r="D501" t="s">
        <v>147</v>
      </c>
      <c r="E501" t="str">
        <f>VLOOKUP(F501,References!$D$1:$F$50,3,TRUE)</f>
        <v>Data Scientist</v>
      </c>
      <c r="F501" t="s">
        <v>13</v>
      </c>
      <c r="G501">
        <v>52396</v>
      </c>
      <c r="H501" t="s">
        <v>62</v>
      </c>
      <c r="I501">
        <v>100</v>
      </c>
      <c r="J501" t="s">
        <v>62</v>
      </c>
      <c r="K501" t="str">
        <f>VLOOKUP(J501,CountryName!$B:$C,2,TRUE)</f>
        <v>North America</v>
      </c>
      <c r="L501" t="s">
        <v>151</v>
      </c>
    </row>
    <row r="502" spans="1:12" x14ac:dyDescent="0.2">
      <c r="A502" s="1">
        <v>2022</v>
      </c>
      <c r="B502" t="str">
        <f>VLOOKUP(C502,References!$A$5:$B$8,2,TRUE)</f>
        <v>Senior Level</v>
      </c>
      <c r="C502" t="s">
        <v>17</v>
      </c>
      <c r="D502" t="s">
        <v>147</v>
      </c>
      <c r="E502" t="str">
        <f>VLOOKUP(F502,References!$D$1:$F$50,3,TRUE)</f>
        <v>Machine Learning</v>
      </c>
      <c r="F502" t="s">
        <v>28</v>
      </c>
      <c r="G502">
        <v>62651</v>
      </c>
      <c r="H502" t="s">
        <v>56</v>
      </c>
      <c r="I502">
        <v>100</v>
      </c>
      <c r="J502" t="s">
        <v>56</v>
      </c>
      <c r="K502" t="str">
        <f>VLOOKUP(J502,CountryName!$B:$C,2,TRUE)</f>
        <v>Europe</v>
      </c>
      <c r="L502" t="s">
        <v>151</v>
      </c>
    </row>
    <row r="503" spans="1:12" x14ac:dyDescent="0.2">
      <c r="A503" s="1">
        <v>2022</v>
      </c>
      <c r="B503" t="str">
        <f>VLOOKUP(C503,References!$A$5:$B$8,2,TRUE)</f>
        <v>Mid level</v>
      </c>
      <c r="C503" t="s">
        <v>11</v>
      </c>
      <c r="D503" t="s">
        <v>147</v>
      </c>
      <c r="E503" t="str">
        <f>VLOOKUP(F503,References!$D$1:$F$50,3,TRUE)</f>
        <v>Manager</v>
      </c>
      <c r="F503" t="s">
        <v>81</v>
      </c>
      <c r="G503">
        <v>32974</v>
      </c>
      <c r="H503" t="s">
        <v>140</v>
      </c>
      <c r="I503">
        <v>100</v>
      </c>
      <c r="J503" t="s">
        <v>140</v>
      </c>
      <c r="K503" t="str">
        <f>VLOOKUP(J503,CountryName!$B:$C,2,TRUE)</f>
        <v>Europe</v>
      </c>
      <c r="L503" t="s">
        <v>152</v>
      </c>
    </row>
    <row r="504" spans="1:12" x14ac:dyDescent="0.2">
      <c r="A504" s="1">
        <v>2022</v>
      </c>
      <c r="B504" t="str">
        <f>VLOOKUP(C504,References!$A$5:$B$8,2,TRUE)</f>
        <v>Entry Level</v>
      </c>
      <c r="C504" t="s">
        <v>30</v>
      </c>
      <c r="D504" t="s">
        <v>147</v>
      </c>
      <c r="E504" t="str">
        <f>VLOOKUP(F504,References!$D$1:$F$50,3,TRUE)</f>
        <v>Data Scientist</v>
      </c>
      <c r="F504" t="s">
        <v>13</v>
      </c>
      <c r="G504">
        <v>40000</v>
      </c>
      <c r="H504" t="s">
        <v>20</v>
      </c>
      <c r="I504">
        <v>100</v>
      </c>
      <c r="J504" t="s">
        <v>139</v>
      </c>
      <c r="K504" t="str">
        <f>VLOOKUP(J504,CountryName!$B:$C,2,TRUE)</f>
        <v>Asia</v>
      </c>
      <c r="L504" t="s">
        <v>151</v>
      </c>
    </row>
    <row r="505" spans="1:12" x14ac:dyDescent="0.2">
      <c r="A505" s="1">
        <v>2022</v>
      </c>
      <c r="B505" t="str">
        <f>VLOOKUP(C505,References!$A$5:$B$8,2,TRUE)</f>
        <v>Mid level</v>
      </c>
      <c r="C505" t="s">
        <v>11</v>
      </c>
      <c r="D505" t="s">
        <v>147</v>
      </c>
      <c r="E505" t="str">
        <f>VLOOKUP(F505,References!$D$1:$F$50,3,TRUE)</f>
        <v>Machine Learning</v>
      </c>
      <c r="F505" t="s">
        <v>28</v>
      </c>
      <c r="G505">
        <v>87425</v>
      </c>
      <c r="H505" t="s">
        <v>142</v>
      </c>
      <c r="I505">
        <v>100</v>
      </c>
      <c r="J505" t="s">
        <v>142</v>
      </c>
      <c r="K505" t="str">
        <f>VLOOKUP(J505,CountryName!$B:$C,2,TRUE)</f>
        <v>Oceania</v>
      </c>
      <c r="L505" t="s">
        <v>151</v>
      </c>
    </row>
    <row r="506" spans="1:12" x14ac:dyDescent="0.2">
      <c r="A506" s="1">
        <v>2022</v>
      </c>
      <c r="B506" t="str">
        <f>VLOOKUP(C506,References!$A$5:$B$8,2,TRUE)</f>
        <v>Senior Level</v>
      </c>
      <c r="C506" t="s">
        <v>17</v>
      </c>
      <c r="D506" t="s">
        <v>147</v>
      </c>
      <c r="E506" t="str">
        <f>VLOOKUP(F506,References!$D$1:$F$50,3,TRUE)</f>
        <v>Data Engineer</v>
      </c>
      <c r="F506" t="s">
        <v>43</v>
      </c>
      <c r="G506">
        <v>115000</v>
      </c>
      <c r="H506" t="s">
        <v>29</v>
      </c>
      <c r="I506">
        <v>100</v>
      </c>
      <c r="J506" t="s">
        <v>29</v>
      </c>
      <c r="K506" t="str">
        <f>VLOOKUP(J506,CountryName!$B:$C,2,TRUE)</f>
        <v>North America</v>
      </c>
      <c r="L506" t="s">
        <v>153</v>
      </c>
    </row>
    <row r="507" spans="1:12" x14ac:dyDescent="0.2">
      <c r="A507" s="1">
        <v>2022</v>
      </c>
      <c r="B507" t="str">
        <f>VLOOKUP(C507,References!$A$5:$B$8,2,TRUE)</f>
        <v>Entry Level</v>
      </c>
      <c r="C507" t="s">
        <v>30</v>
      </c>
      <c r="D507" t="s">
        <v>147</v>
      </c>
      <c r="E507" t="str">
        <f>VLOOKUP(F507,References!$D$1:$F$50,3,TRUE)</f>
        <v>Data Scientist</v>
      </c>
      <c r="F507" t="s">
        <v>13</v>
      </c>
      <c r="G507">
        <v>86703</v>
      </c>
      <c r="H507" t="s">
        <v>142</v>
      </c>
      <c r="I507">
        <v>50</v>
      </c>
      <c r="J507" t="s">
        <v>142</v>
      </c>
      <c r="K507" t="str">
        <f>VLOOKUP(J507,CountryName!$B:$C,2,TRUE)</f>
        <v>Oceania</v>
      </c>
      <c r="L507" t="s">
        <v>153</v>
      </c>
    </row>
    <row r="508" spans="1:12" x14ac:dyDescent="0.2">
      <c r="A508" s="1">
        <v>2022</v>
      </c>
      <c r="B508" t="str">
        <f>VLOOKUP(C508,References!$A$5:$B$8,2,TRUE)</f>
        <v>Mid level</v>
      </c>
      <c r="C508" t="s">
        <v>11</v>
      </c>
      <c r="D508" t="s">
        <v>147</v>
      </c>
      <c r="E508" t="str">
        <f>VLOOKUP(F508,References!$D$1:$F$50,3,TRUE)</f>
        <v>Data Scientist</v>
      </c>
      <c r="F508" t="s">
        <v>100</v>
      </c>
      <c r="G508">
        <v>75000</v>
      </c>
      <c r="H508" t="s">
        <v>143</v>
      </c>
      <c r="I508">
        <v>100</v>
      </c>
      <c r="J508" t="s">
        <v>29</v>
      </c>
      <c r="K508" t="str">
        <f>VLOOKUP(J508,CountryName!$B:$C,2,TRUE)</f>
        <v>North America</v>
      </c>
      <c r="L508" t="s">
        <v>151</v>
      </c>
    </row>
    <row r="509" spans="1:12" x14ac:dyDescent="0.2">
      <c r="A509" s="1">
        <v>2022</v>
      </c>
      <c r="B509" t="str">
        <f>VLOOKUP(C509,References!$A$5:$B$8,2,TRUE)</f>
        <v>Mid level</v>
      </c>
      <c r="C509" t="s">
        <v>11</v>
      </c>
      <c r="D509" t="s">
        <v>147</v>
      </c>
      <c r="E509" t="str">
        <f>VLOOKUP(F509,References!$D$1:$F$50,3,TRUE)</f>
        <v>Scientist</v>
      </c>
      <c r="F509" t="s">
        <v>55</v>
      </c>
      <c r="G509">
        <v>64849</v>
      </c>
      <c r="H509" t="s">
        <v>64</v>
      </c>
      <c r="I509">
        <v>0</v>
      </c>
      <c r="J509" t="s">
        <v>64</v>
      </c>
      <c r="K509" t="str">
        <f>VLOOKUP(J509,CountryName!$B:$C,2,TRUE)</f>
        <v>Europe</v>
      </c>
      <c r="L509" t="s">
        <v>151</v>
      </c>
    </row>
    <row r="510" spans="1:12" x14ac:dyDescent="0.2">
      <c r="A510" s="1">
        <v>2022</v>
      </c>
      <c r="B510" t="str">
        <f>VLOOKUP(C510,References!$A$5:$B$8,2,TRUE)</f>
        <v>Entry Level</v>
      </c>
      <c r="C510" t="s">
        <v>30</v>
      </c>
      <c r="D510" t="s">
        <v>147</v>
      </c>
      <c r="E510" t="str">
        <f>VLOOKUP(F510,References!$D$1:$F$50,3,TRUE)</f>
        <v>Scientist</v>
      </c>
      <c r="F510" t="s">
        <v>55</v>
      </c>
      <c r="G510">
        <v>120000</v>
      </c>
      <c r="H510" t="s">
        <v>29</v>
      </c>
      <c r="I510">
        <v>100</v>
      </c>
      <c r="J510" t="s">
        <v>29</v>
      </c>
      <c r="K510" t="str">
        <f>VLOOKUP(J510,CountryName!$B:$C,2,TRUE)</f>
        <v>North America</v>
      </c>
      <c r="L510" t="s">
        <v>151</v>
      </c>
    </row>
    <row r="511" spans="1:12" x14ac:dyDescent="0.2">
      <c r="A511" s="1">
        <v>2022</v>
      </c>
      <c r="B511" t="str">
        <f>VLOOKUP(C511,References!$A$5:$B$8,2,TRUE)</f>
        <v>Mid level</v>
      </c>
      <c r="C511" t="s">
        <v>11</v>
      </c>
      <c r="D511" t="s">
        <v>147</v>
      </c>
      <c r="E511" t="str">
        <f>VLOOKUP(F511,References!$D$1:$F$50,3,TRUE)</f>
        <v>Data Scientist</v>
      </c>
      <c r="F511" t="s">
        <v>84</v>
      </c>
      <c r="G511">
        <v>157000</v>
      </c>
      <c r="H511" t="s">
        <v>29</v>
      </c>
      <c r="I511">
        <v>100</v>
      </c>
      <c r="J511" t="s">
        <v>29</v>
      </c>
      <c r="K511" t="str">
        <f>VLOOKUP(J511,CountryName!$B:$C,2,TRUE)</f>
        <v>North America</v>
      </c>
      <c r="L511" t="s">
        <v>151</v>
      </c>
    </row>
    <row r="512" spans="1:12" x14ac:dyDescent="0.2">
      <c r="A512" s="1">
        <v>2022</v>
      </c>
      <c r="B512" t="str">
        <f>VLOOKUP(C512,References!$A$5:$B$8,2,TRUE)</f>
        <v>Entry Level</v>
      </c>
      <c r="C512" t="s">
        <v>30</v>
      </c>
      <c r="D512" t="s">
        <v>147</v>
      </c>
      <c r="E512" t="str">
        <f>VLOOKUP(F512,References!$D$1:$F$50,3,TRUE)</f>
        <v>Computer Vision</v>
      </c>
      <c r="F512" t="s">
        <v>93</v>
      </c>
      <c r="G512">
        <v>150000</v>
      </c>
      <c r="H512" t="s">
        <v>142</v>
      </c>
      <c r="I512">
        <v>100</v>
      </c>
      <c r="J512" t="s">
        <v>142</v>
      </c>
      <c r="K512" t="str">
        <f>VLOOKUP(J512,CountryName!$B:$C,2,TRUE)</f>
        <v>Oceania</v>
      </c>
      <c r="L512" t="s">
        <v>152</v>
      </c>
    </row>
    <row r="513" spans="1:12" x14ac:dyDescent="0.2">
      <c r="A513" s="1">
        <v>2022</v>
      </c>
      <c r="B513" t="str">
        <f>VLOOKUP(C513,References!$A$5:$B$8,2,TRUE)</f>
        <v>Mid level</v>
      </c>
      <c r="C513" t="s">
        <v>11</v>
      </c>
      <c r="D513" t="s">
        <v>147</v>
      </c>
      <c r="E513" t="str">
        <f>VLOOKUP(F513,References!$D$1:$F$50,3,TRUE)</f>
        <v>Data Analyst</v>
      </c>
      <c r="F513" t="s">
        <v>35</v>
      </c>
      <c r="G513">
        <v>70912</v>
      </c>
      <c r="H513" t="s">
        <v>62</v>
      </c>
      <c r="I513">
        <v>50</v>
      </c>
      <c r="J513" t="s">
        <v>62</v>
      </c>
      <c r="K513" t="str">
        <f>VLOOKUP(J513,CountryName!$B:$C,2,TRUE)</f>
        <v>North America</v>
      </c>
      <c r="L513" t="s">
        <v>151</v>
      </c>
    </row>
    <row r="514" spans="1:12" x14ac:dyDescent="0.2">
      <c r="A514" s="1">
        <v>2022</v>
      </c>
      <c r="B514" t="str">
        <f>VLOOKUP(C514,References!$A$5:$B$8,2,TRUE)</f>
        <v>Entry Level</v>
      </c>
      <c r="C514" t="s">
        <v>30</v>
      </c>
      <c r="D514" t="s">
        <v>147</v>
      </c>
      <c r="E514" t="str">
        <f>VLOOKUP(F514,References!$D$1:$F$50,3,TRUE)</f>
        <v>Data Engineer</v>
      </c>
      <c r="F514" t="s">
        <v>43</v>
      </c>
      <c r="G514">
        <v>65000</v>
      </c>
      <c r="H514" t="s">
        <v>29</v>
      </c>
      <c r="I514">
        <v>100</v>
      </c>
      <c r="J514" t="s">
        <v>29</v>
      </c>
      <c r="K514" t="str">
        <f>VLOOKUP(J514,CountryName!$B:$C,2,TRUE)</f>
        <v>North America</v>
      </c>
      <c r="L514" t="s">
        <v>152</v>
      </c>
    </row>
    <row r="515" spans="1:12" x14ac:dyDescent="0.2">
      <c r="A515" s="1">
        <v>2022</v>
      </c>
      <c r="B515" t="str">
        <f>VLOOKUP(C515,References!$A$5:$B$8,2,TRUE)</f>
        <v>Senior Level</v>
      </c>
      <c r="C515" t="s">
        <v>17</v>
      </c>
      <c r="D515" t="s">
        <v>147</v>
      </c>
      <c r="E515" t="str">
        <f>VLOOKUP(F515,References!$D$1:$F$50,3,TRUE)</f>
        <v>Machine Learning</v>
      </c>
      <c r="F515" t="s">
        <v>28</v>
      </c>
      <c r="G515">
        <v>71444</v>
      </c>
      <c r="H515" t="s">
        <v>144</v>
      </c>
      <c r="I515">
        <v>100</v>
      </c>
      <c r="J515" t="s">
        <v>144</v>
      </c>
      <c r="K515" t="str">
        <f>VLOOKUP(J515,CountryName!$B:$C,2,TRUE)</f>
        <v>Europe</v>
      </c>
      <c r="L515" t="s">
        <v>152</v>
      </c>
    </row>
    <row r="516" spans="1:12" x14ac:dyDescent="0.2">
      <c r="A516" s="1">
        <v>2022</v>
      </c>
      <c r="B516" t="str">
        <f>VLOOKUP(C516,References!$A$5:$B$8,2,TRUE)</f>
        <v>Entry Level</v>
      </c>
      <c r="C516" t="s">
        <v>30</v>
      </c>
      <c r="D516" t="s">
        <v>147</v>
      </c>
      <c r="E516" t="str">
        <f>VLOOKUP(F516,References!$D$1:$F$50,3,TRUE)</f>
        <v>Data Analyst</v>
      </c>
      <c r="F516" t="s">
        <v>83</v>
      </c>
      <c r="G516">
        <v>20000</v>
      </c>
      <c r="H516" t="s">
        <v>42</v>
      </c>
      <c r="I516">
        <v>0</v>
      </c>
      <c r="J516" t="s">
        <v>42</v>
      </c>
      <c r="K516" t="str">
        <f>VLOOKUP(J516,CountryName!$B:$C,2,TRUE)</f>
        <v>Asia</v>
      </c>
      <c r="L516" t="s">
        <v>153</v>
      </c>
    </row>
    <row r="517" spans="1:12" x14ac:dyDescent="0.2">
      <c r="A517" s="1">
        <v>2022</v>
      </c>
      <c r="B517" t="str">
        <f>VLOOKUP(C517,References!$A$5:$B$8,2,TRUE)</f>
        <v>Mid level</v>
      </c>
      <c r="C517" t="s">
        <v>11</v>
      </c>
      <c r="D517" t="s">
        <v>147</v>
      </c>
      <c r="E517" t="str">
        <f>VLOOKUP(F517,References!$D$1:$F$50,3,TRUE)</f>
        <v>Data Scientist</v>
      </c>
      <c r="F517" t="s">
        <v>13</v>
      </c>
      <c r="G517">
        <v>48000</v>
      </c>
      <c r="H517" t="s">
        <v>75</v>
      </c>
      <c r="I517">
        <v>100</v>
      </c>
      <c r="J517" t="s">
        <v>29</v>
      </c>
      <c r="K517" t="str">
        <f>VLOOKUP(J517,CountryName!$B:$C,2,TRUE)</f>
        <v>North America</v>
      </c>
      <c r="L517" t="s">
        <v>152</v>
      </c>
    </row>
    <row r="518" spans="1:12" x14ac:dyDescent="0.2">
      <c r="A518" s="1">
        <v>2022</v>
      </c>
      <c r="B518" t="str">
        <f>VLOOKUP(C518,References!$A$5:$B$8,2,TRUE)</f>
        <v>Senior Level</v>
      </c>
      <c r="C518" t="s">
        <v>17</v>
      </c>
      <c r="D518" t="s">
        <v>147</v>
      </c>
      <c r="E518" t="str">
        <f>VLOOKUP(F518,References!$D$1:$F$50,3,TRUE)</f>
        <v>Manager</v>
      </c>
      <c r="F518" t="s">
        <v>79</v>
      </c>
      <c r="G518">
        <v>152500</v>
      </c>
      <c r="H518" t="s">
        <v>29</v>
      </c>
      <c r="I518">
        <v>100</v>
      </c>
      <c r="J518" t="s">
        <v>29</v>
      </c>
      <c r="K518" t="str">
        <f>VLOOKUP(J518,CountryName!$B:$C,2,TRUE)</f>
        <v>North America</v>
      </c>
      <c r="L518" t="s">
        <v>153</v>
      </c>
    </row>
    <row r="519" spans="1:12" x14ac:dyDescent="0.2">
      <c r="A519" s="1">
        <v>2022</v>
      </c>
      <c r="B519" t="str">
        <f>VLOOKUP(C519,References!$A$5:$B$8,2,TRUE)</f>
        <v>Mid level</v>
      </c>
      <c r="C519" t="s">
        <v>11</v>
      </c>
      <c r="D519" t="s">
        <v>147</v>
      </c>
      <c r="E519" t="str">
        <f>VLOOKUP(F519,References!$D$1:$F$50,3,TRUE)</f>
        <v>Data Engineer</v>
      </c>
      <c r="F519" t="s">
        <v>43</v>
      </c>
      <c r="G519">
        <v>68147</v>
      </c>
      <c r="H519" t="s">
        <v>38</v>
      </c>
      <c r="I519">
        <v>100</v>
      </c>
      <c r="J519" t="s">
        <v>38</v>
      </c>
      <c r="K519" t="str">
        <f>VLOOKUP(J519,CountryName!$B:$C,2,TRUE)</f>
        <v>Europe</v>
      </c>
      <c r="L519" t="s">
        <v>153</v>
      </c>
    </row>
    <row r="520" spans="1:12" x14ac:dyDescent="0.2">
      <c r="A520" s="1">
        <v>2022</v>
      </c>
      <c r="B520" t="str">
        <f>VLOOKUP(C520,References!$A$5:$B$8,2,TRUE)</f>
        <v>Mid level</v>
      </c>
      <c r="C520" t="s">
        <v>11</v>
      </c>
      <c r="D520" t="s">
        <v>147</v>
      </c>
      <c r="E520" t="str">
        <f>VLOOKUP(F520,References!$D$1:$F$50,3,TRUE)</f>
        <v>Data Scientist</v>
      </c>
      <c r="F520" t="s">
        <v>13</v>
      </c>
      <c r="G520">
        <v>122346</v>
      </c>
      <c r="H520" t="s">
        <v>120</v>
      </c>
      <c r="I520">
        <v>0</v>
      </c>
      <c r="J520" t="s">
        <v>120</v>
      </c>
      <c r="K520" t="str">
        <f>VLOOKUP(J520,CountryName!$B:$C,2,TRUE)</f>
        <v>Europe</v>
      </c>
      <c r="L520" t="s">
        <v>151</v>
      </c>
    </row>
    <row r="521" spans="1:12" x14ac:dyDescent="0.2">
      <c r="A521" s="1">
        <v>2022</v>
      </c>
      <c r="B521" t="str">
        <f>VLOOKUP(C521,References!$A$5:$B$8,2,TRUE)</f>
        <v>Senior Level</v>
      </c>
      <c r="C521" t="s">
        <v>17</v>
      </c>
      <c r="D521" t="s">
        <v>147</v>
      </c>
      <c r="E521" t="str">
        <f>VLOOKUP(F521,References!$D$1:$F$50,3,TRUE)</f>
        <v>Data Scientist</v>
      </c>
      <c r="F521" t="s">
        <v>84</v>
      </c>
      <c r="G521">
        <v>380000</v>
      </c>
      <c r="H521" t="s">
        <v>29</v>
      </c>
      <c r="I521">
        <v>100</v>
      </c>
      <c r="J521" t="s">
        <v>29</v>
      </c>
      <c r="K521" t="str">
        <f>VLOOKUP(J521,CountryName!$B:$C,2,TRUE)</f>
        <v>North America</v>
      </c>
      <c r="L521" t="s">
        <v>151</v>
      </c>
    </row>
    <row r="522" spans="1:12" x14ac:dyDescent="0.2">
      <c r="A522" s="1">
        <v>2022</v>
      </c>
      <c r="B522" t="str">
        <f>VLOOKUP(C522,References!$A$5:$B$8,2,TRUE)</f>
        <v>Mid level</v>
      </c>
      <c r="C522" t="s">
        <v>11</v>
      </c>
      <c r="D522" t="s">
        <v>147</v>
      </c>
      <c r="E522" t="str">
        <f>VLOOKUP(F522,References!$D$1:$F$50,3,TRUE)</f>
        <v>Data Scientist</v>
      </c>
      <c r="F522" t="s">
        <v>13</v>
      </c>
      <c r="G522">
        <v>69336</v>
      </c>
      <c r="H522" t="s">
        <v>62</v>
      </c>
      <c r="I522">
        <v>100</v>
      </c>
      <c r="J522" t="s">
        <v>62</v>
      </c>
      <c r="K522" t="str">
        <f>VLOOKUP(J522,CountryName!$B:$C,2,TRUE)</f>
        <v>North America</v>
      </c>
      <c r="L522" t="s">
        <v>153</v>
      </c>
    </row>
    <row r="523" spans="1:12" x14ac:dyDescent="0.2">
      <c r="A523" s="1">
        <v>2022</v>
      </c>
      <c r="B523" t="str">
        <f>VLOOKUP(C523,References!$A$5:$B$8,2,TRUE)</f>
        <v>Entry Level</v>
      </c>
      <c r="C523" t="s">
        <v>30</v>
      </c>
      <c r="D523" t="s">
        <v>147</v>
      </c>
      <c r="E523" t="str">
        <f>VLOOKUP(F523,References!$D$1:$F$50,3,TRUE)</f>
        <v>Data Engineer</v>
      </c>
      <c r="F523" t="s">
        <v>74</v>
      </c>
      <c r="G523">
        <v>10000</v>
      </c>
      <c r="H523" t="s">
        <v>47</v>
      </c>
      <c r="I523">
        <v>100</v>
      </c>
      <c r="J523" t="s">
        <v>80</v>
      </c>
      <c r="K523" t="str">
        <f>VLOOKUP(J523,CountryName!$B:$C,2,TRUE)</f>
        <v>Europe</v>
      </c>
      <c r="L523" t="s">
        <v>153</v>
      </c>
    </row>
    <row r="524" spans="1:12" x14ac:dyDescent="0.2">
      <c r="A524" s="1">
        <v>2022</v>
      </c>
      <c r="B524" t="str">
        <f>VLOOKUP(C524,References!$A$5:$B$8,2,TRUE)</f>
        <v>Mid level</v>
      </c>
      <c r="C524" t="s">
        <v>11</v>
      </c>
      <c r="D524" t="s">
        <v>147</v>
      </c>
      <c r="E524" t="str">
        <f>VLOOKUP(F524,References!$D$1:$F$50,3,TRUE)</f>
        <v>Data Analyst</v>
      </c>
      <c r="F524" t="s">
        <v>31</v>
      </c>
      <c r="G524">
        <v>20000</v>
      </c>
      <c r="H524" t="s">
        <v>50</v>
      </c>
      <c r="I524">
        <v>100</v>
      </c>
      <c r="J524" t="s">
        <v>50</v>
      </c>
      <c r="K524" t="str">
        <f>VLOOKUP(J524,CountryName!$B:$C,2,TRUE)</f>
        <v>Europe</v>
      </c>
      <c r="L524" t="s">
        <v>152</v>
      </c>
    </row>
    <row r="525" spans="1:12" x14ac:dyDescent="0.2">
      <c r="A525" s="1">
        <v>2022</v>
      </c>
      <c r="B525" t="str">
        <f>VLOOKUP(C525,References!$A$5:$B$8,2,TRUE)</f>
        <v>Senior Level</v>
      </c>
      <c r="C525" t="s">
        <v>17</v>
      </c>
      <c r="D525" t="s">
        <v>147</v>
      </c>
      <c r="E525" t="str">
        <f>VLOOKUP(F525,References!$D$1:$F$50,3,TRUE)</f>
        <v>Manager</v>
      </c>
      <c r="F525" t="s">
        <v>146</v>
      </c>
      <c r="G525">
        <v>405000</v>
      </c>
      <c r="H525" t="s">
        <v>29</v>
      </c>
      <c r="I525">
        <v>100</v>
      </c>
      <c r="J525" t="s">
        <v>29</v>
      </c>
      <c r="K525" t="str">
        <f>VLOOKUP(J525,CountryName!$B:$C,2,TRUE)</f>
        <v>North America</v>
      </c>
      <c r="L525" t="s">
        <v>151</v>
      </c>
    </row>
    <row r="526" spans="1:12" x14ac:dyDescent="0.2">
      <c r="A526" s="1">
        <v>2022</v>
      </c>
      <c r="B526" t="str">
        <f>VLOOKUP(C526,References!$A$5:$B$8,2,TRUE)</f>
        <v>Mid level</v>
      </c>
      <c r="C526" t="s">
        <v>11</v>
      </c>
      <c r="D526" t="s">
        <v>147</v>
      </c>
      <c r="E526" t="str">
        <f>VLOOKUP(F526,References!$D$1:$F$50,3,TRUE)</f>
        <v>Data Scientist</v>
      </c>
      <c r="F526" t="s">
        <v>13</v>
      </c>
      <c r="G526">
        <v>135000</v>
      </c>
      <c r="H526" t="s">
        <v>29</v>
      </c>
      <c r="I526">
        <v>100</v>
      </c>
      <c r="J526" t="s">
        <v>29</v>
      </c>
      <c r="K526" t="str">
        <f>VLOOKUP(J526,CountryName!$B:$C,2,TRUE)</f>
        <v>North America</v>
      </c>
      <c r="L526" t="s">
        <v>151</v>
      </c>
    </row>
    <row r="527" spans="1:12" x14ac:dyDescent="0.2">
      <c r="A527" s="1">
        <v>2022</v>
      </c>
      <c r="B527" t="str">
        <f>VLOOKUP(C527,References!$A$5:$B$8,2,TRUE)</f>
        <v>Senior Level</v>
      </c>
      <c r="C527" t="s">
        <v>17</v>
      </c>
      <c r="D527" t="s">
        <v>147</v>
      </c>
      <c r="E527" t="str">
        <f>VLOOKUP(F527,References!$D$1:$F$50,3,TRUE)</f>
        <v>Data Scientist</v>
      </c>
      <c r="F527" t="s">
        <v>84</v>
      </c>
      <c r="G527">
        <v>177000</v>
      </c>
      <c r="H527" t="s">
        <v>29</v>
      </c>
      <c r="I527">
        <v>100</v>
      </c>
      <c r="J527" t="s">
        <v>29</v>
      </c>
      <c r="K527" t="str">
        <f>VLOOKUP(J527,CountryName!$B:$C,2,TRUE)</f>
        <v>North America</v>
      </c>
      <c r="L527" t="s">
        <v>151</v>
      </c>
    </row>
    <row r="528" spans="1:12" x14ac:dyDescent="0.2">
      <c r="A528" s="1">
        <v>2022</v>
      </c>
      <c r="B528" t="str">
        <f>VLOOKUP(C528,References!$A$5:$B$8,2,TRUE)</f>
        <v>Mid level</v>
      </c>
      <c r="C528" t="s">
        <v>11</v>
      </c>
      <c r="D528" t="s">
        <v>147</v>
      </c>
      <c r="E528" t="str">
        <f>VLOOKUP(F528,References!$D$1:$F$50,3,TRUE)</f>
        <v>Data Scientist</v>
      </c>
      <c r="F528" t="s">
        <v>13</v>
      </c>
      <c r="G528">
        <v>78000</v>
      </c>
      <c r="H528" t="s">
        <v>29</v>
      </c>
      <c r="I528">
        <v>100</v>
      </c>
      <c r="J528" t="s">
        <v>29</v>
      </c>
      <c r="K528" t="str">
        <f>VLOOKUP(J528,CountryName!$B:$C,2,TRUE)</f>
        <v>North America</v>
      </c>
      <c r="L528" t="s">
        <v>153</v>
      </c>
    </row>
    <row r="529" spans="1:12" x14ac:dyDescent="0.2">
      <c r="A529" s="1">
        <v>2022</v>
      </c>
      <c r="B529" t="str">
        <f>VLOOKUP(C529,References!$A$5:$B$8,2,TRUE)</f>
        <v>Senior Level</v>
      </c>
      <c r="C529" t="s">
        <v>17</v>
      </c>
      <c r="D529" t="s">
        <v>147</v>
      </c>
      <c r="E529" t="str">
        <f>VLOOKUP(F529,References!$D$1:$F$50,3,TRUE)</f>
        <v>Data Analyst</v>
      </c>
      <c r="F529" t="s">
        <v>31</v>
      </c>
      <c r="G529">
        <v>135000</v>
      </c>
      <c r="H529" t="s">
        <v>29</v>
      </c>
      <c r="I529">
        <v>100</v>
      </c>
      <c r="J529" t="s">
        <v>29</v>
      </c>
      <c r="K529" t="str">
        <f>VLOOKUP(J529,CountryName!$B:$C,2,TRUE)</f>
        <v>North America</v>
      </c>
      <c r="L529" t="s">
        <v>153</v>
      </c>
    </row>
    <row r="530" spans="1:12" x14ac:dyDescent="0.2">
      <c r="A530" s="1">
        <v>2022</v>
      </c>
      <c r="B530" t="str">
        <f>VLOOKUP(C530,References!$A$5:$B$8,2,TRUE)</f>
        <v>Senior Level</v>
      </c>
      <c r="C530" t="s">
        <v>17</v>
      </c>
      <c r="D530" t="s">
        <v>147</v>
      </c>
      <c r="E530" t="str">
        <f>VLOOKUP(F530,References!$D$1:$F$50,3,TRUE)</f>
        <v>Data Analyst</v>
      </c>
      <c r="F530" t="s">
        <v>31</v>
      </c>
      <c r="G530">
        <v>100000</v>
      </c>
      <c r="H530" t="s">
        <v>29</v>
      </c>
      <c r="I530">
        <v>100</v>
      </c>
      <c r="J530" t="s">
        <v>29</v>
      </c>
      <c r="K530" t="str">
        <f>VLOOKUP(J530,CountryName!$B:$C,2,TRUE)</f>
        <v>North America</v>
      </c>
      <c r="L530" t="s">
        <v>153</v>
      </c>
    </row>
    <row r="531" spans="1:12" x14ac:dyDescent="0.2">
      <c r="A531" s="1">
        <v>2022</v>
      </c>
      <c r="B531" t="str">
        <f>VLOOKUP(C531,References!$A$5:$B$8,2,TRUE)</f>
        <v>Senior Level</v>
      </c>
      <c r="C531" t="s">
        <v>17</v>
      </c>
      <c r="D531" t="s">
        <v>147</v>
      </c>
      <c r="E531" t="str">
        <f>VLOOKUP(F531,References!$D$1:$F$50,3,TRUE)</f>
        <v>Data Analyst</v>
      </c>
      <c r="F531" t="s">
        <v>31</v>
      </c>
      <c r="G531">
        <v>90320</v>
      </c>
      <c r="H531" t="s">
        <v>29</v>
      </c>
      <c r="I531">
        <v>100</v>
      </c>
      <c r="J531" t="s">
        <v>29</v>
      </c>
      <c r="K531" t="str">
        <f>VLOOKUP(J531,CountryName!$B:$C,2,TRUE)</f>
        <v>North America</v>
      </c>
      <c r="L531" t="s">
        <v>153</v>
      </c>
    </row>
    <row r="532" spans="1:12" x14ac:dyDescent="0.2">
      <c r="A532" s="1">
        <v>2022</v>
      </c>
      <c r="B532" t="str">
        <f>VLOOKUP(C532,References!$A$5:$B$8,2,TRUE)</f>
        <v>Mid level</v>
      </c>
      <c r="C532" t="s">
        <v>11</v>
      </c>
      <c r="D532" t="s">
        <v>147</v>
      </c>
      <c r="E532" t="str">
        <f>VLOOKUP(F532,References!$D$1:$F$50,3,TRUE)</f>
        <v>Data Analyst</v>
      </c>
      <c r="F532" t="s">
        <v>31</v>
      </c>
      <c r="G532">
        <v>85000</v>
      </c>
      <c r="H532" t="s">
        <v>62</v>
      </c>
      <c r="I532">
        <v>0</v>
      </c>
      <c r="J532" t="s">
        <v>62</v>
      </c>
      <c r="K532" t="str">
        <f>VLOOKUP(J532,CountryName!$B:$C,2,TRUE)</f>
        <v>North America</v>
      </c>
      <c r="L532" t="s">
        <v>153</v>
      </c>
    </row>
    <row r="533" spans="1:12" x14ac:dyDescent="0.2">
      <c r="A533" s="1">
        <v>2022</v>
      </c>
      <c r="B533" t="str">
        <f>VLOOKUP(C533,References!$A$5:$B$8,2,TRUE)</f>
        <v>Mid level</v>
      </c>
      <c r="C533" t="s">
        <v>11</v>
      </c>
      <c r="D533" t="s">
        <v>147</v>
      </c>
      <c r="E533" t="str">
        <f>VLOOKUP(F533,References!$D$1:$F$50,3,TRUE)</f>
        <v>Data Analyst</v>
      </c>
      <c r="F533" t="s">
        <v>31</v>
      </c>
      <c r="G533">
        <v>75000</v>
      </c>
      <c r="H533" t="s">
        <v>62</v>
      </c>
      <c r="I533">
        <v>0</v>
      </c>
      <c r="J533" t="s">
        <v>62</v>
      </c>
      <c r="K533" t="str">
        <f>VLOOKUP(J533,CountryName!$B:$C,2,TRUE)</f>
        <v>North America</v>
      </c>
      <c r="L533" t="s">
        <v>153</v>
      </c>
    </row>
    <row r="534" spans="1:12" x14ac:dyDescent="0.2">
      <c r="A534" s="1">
        <v>2022</v>
      </c>
      <c r="B534" t="str">
        <f>VLOOKUP(C534,References!$A$5:$B$8,2,TRUE)</f>
        <v>Senior Level</v>
      </c>
      <c r="C534" t="s">
        <v>17</v>
      </c>
      <c r="D534" t="s">
        <v>147</v>
      </c>
      <c r="E534" t="str">
        <f>VLOOKUP(F534,References!$D$1:$F$50,3,TRUE)</f>
        <v>Machine Learning</v>
      </c>
      <c r="F534" t="s">
        <v>28</v>
      </c>
      <c r="G534">
        <v>214000</v>
      </c>
      <c r="H534" t="s">
        <v>29</v>
      </c>
      <c r="I534">
        <v>100</v>
      </c>
      <c r="J534" t="s">
        <v>29</v>
      </c>
      <c r="K534" t="str">
        <f>VLOOKUP(J534,CountryName!$B:$C,2,TRUE)</f>
        <v>North America</v>
      </c>
      <c r="L534" t="s">
        <v>153</v>
      </c>
    </row>
    <row r="535" spans="1:12" x14ac:dyDescent="0.2">
      <c r="A535" s="1">
        <v>2022</v>
      </c>
      <c r="B535" t="str">
        <f>VLOOKUP(C535,References!$A$5:$B$8,2,TRUE)</f>
        <v>Senior Level</v>
      </c>
      <c r="C535" t="s">
        <v>17</v>
      </c>
      <c r="D535" t="s">
        <v>147</v>
      </c>
      <c r="E535" t="str">
        <f>VLOOKUP(F535,References!$D$1:$F$50,3,TRUE)</f>
        <v>Machine Learning</v>
      </c>
      <c r="F535" t="s">
        <v>28</v>
      </c>
      <c r="G535">
        <v>192600</v>
      </c>
      <c r="H535" t="s">
        <v>29</v>
      </c>
      <c r="I535">
        <v>100</v>
      </c>
      <c r="J535" t="s">
        <v>29</v>
      </c>
      <c r="K535" t="str">
        <f>VLOOKUP(J535,CountryName!$B:$C,2,TRUE)</f>
        <v>North America</v>
      </c>
      <c r="L535" t="s">
        <v>153</v>
      </c>
    </row>
    <row r="536" spans="1:12" x14ac:dyDescent="0.2">
      <c r="A536" s="1">
        <v>2022</v>
      </c>
      <c r="B536" t="str">
        <f>VLOOKUP(C536,References!$A$5:$B$8,2,TRUE)</f>
        <v>Senior Level</v>
      </c>
      <c r="C536" t="s">
        <v>17</v>
      </c>
      <c r="D536" t="s">
        <v>147</v>
      </c>
      <c r="E536" t="str">
        <f>VLOOKUP(F536,References!$D$1:$F$50,3,TRUE)</f>
        <v>Data Engineer</v>
      </c>
      <c r="F536" t="s">
        <v>109</v>
      </c>
      <c r="G536">
        <v>266400</v>
      </c>
      <c r="H536" t="s">
        <v>29</v>
      </c>
      <c r="I536">
        <v>100</v>
      </c>
      <c r="J536" t="s">
        <v>29</v>
      </c>
      <c r="K536" t="str">
        <f>VLOOKUP(J536,CountryName!$B:$C,2,TRUE)</f>
        <v>North America</v>
      </c>
      <c r="L536" t="s">
        <v>153</v>
      </c>
    </row>
    <row r="537" spans="1:12" x14ac:dyDescent="0.2">
      <c r="A537" s="1">
        <v>2022</v>
      </c>
      <c r="B537" t="str">
        <f>VLOOKUP(C537,References!$A$5:$B$8,2,TRUE)</f>
        <v>Senior Level</v>
      </c>
      <c r="C537" t="s">
        <v>17</v>
      </c>
      <c r="D537" t="s">
        <v>147</v>
      </c>
      <c r="E537" t="str">
        <f>VLOOKUP(F537,References!$D$1:$F$50,3,TRUE)</f>
        <v>Data Engineer</v>
      </c>
      <c r="F537" t="s">
        <v>109</v>
      </c>
      <c r="G537">
        <v>213120</v>
      </c>
      <c r="H537" t="s">
        <v>29</v>
      </c>
      <c r="I537">
        <v>100</v>
      </c>
      <c r="J537" t="s">
        <v>29</v>
      </c>
      <c r="K537" t="str">
        <f>VLOOKUP(J537,CountryName!$B:$C,2,TRUE)</f>
        <v>North America</v>
      </c>
      <c r="L537" t="s">
        <v>153</v>
      </c>
    </row>
    <row r="538" spans="1:12" x14ac:dyDescent="0.2">
      <c r="A538" s="1">
        <v>2022</v>
      </c>
      <c r="B538" t="str">
        <f>VLOOKUP(C538,References!$A$5:$B$8,2,TRUE)</f>
        <v>Senior Level</v>
      </c>
      <c r="C538" t="s">
        <v>17</v>
      </c>
      <c r="D538" t="s">
        <v>147</v>
      </c>
      <c r="E538" t="str">
        <f>VLOOKUP(F538,References!$D$1:$F$50,3,TRUE)</f>
        <v>Data Analyst</v>
      </c>
      <c r="F538" t="s">
        <v>31</v>
      </c>
      <c r="G538">
        <v>112900</v>
      </c>
      <c r="H538" t="s">
        <v>29</v>
      </c>
      <c r="I538">
        <v>100</v>
      </c>
      <c r="J538" t="s">
        <v>29</v>
      </c>
      <c r="K538" t="str">
        <f>VLOOKUP(J538,CountryName!$B:$C,2,TRUE)</f>
        <v>North America</v>
      </c>
      <c r="L538" t="s">
        <v>153</v>
      </c>
    </row>
    <row r="539" spans="1:12" x14ac:dyDescent="0.2">
      <c r="A539" s="1">
        <v>2022</v>
      </c>
      <c r="B539" t="str">
        <f>VLOOKUP(C539,References!$A$5:$B$8,2,TRUE)</f>
        <v>Senior Level</v>
      </c>
      <c r="C539" t="s">
        <v>17</v>
      </c>
      <c r="D539" t="s">
        <v>147</v>
      </c>
      <c r="E539" t="str">
        <f>VLOOKUP(F539,References!$D$1:$F$50,3,TRUE)</f>
        <v>Data Engineer</v>
      </c>
      <c r="F539" t="s">
        <v>43</v>
      </c>
      <c r="G539">
        <v>155000</v>
      </c>
      <c r="H539" t="s">
        <v>29</v>
      </c>
      <c r="I539">
        <v>100</v>
      </c>
      <c r="J539" t="s">
        <v>29</v>
      </c>
      <c r="K539" t="str">
        <f>VLOOKUP(J539,CountryName!$B:$C,2,TRUE)</f>
        <v>North America</v>
      </c>
      <c r="L539" t="s">
        <v>153</v>
      </c>
    </row>
    <row r="540" spans="1:12" x14ac:dyDescent="0.2">
      <c r="A540" s="1">
        <v>2022</v>
      </c>
      <c r="B540" t="str">
        <f>VLOOKUP(C540,References!$A$5:$B$8,2,TRUE)</f>
        <v>Mid level</v>
      </c>
      <c r="C540" t="s">
        <v>11</v>
      </c>
      <c r="D540" t="s">
        <v>147</v>
      </c>
      <c r="E540" t="str">
        <f>VLOOKUP(F540,References!$D$1:$F$50,3,TRUE)</f>
        <v>Data Scientist</v>
      </c>
      <c r="F540" t="s">
        <v>13</v>
      </c>
      <c r="G540">
        <v>141300</v>
      </c>
      <c r="H540" t="s">
        <v>29</v>
      </c>
      <c r="I540">
        <v>0</v>
      </c>
      <c r="J540" t="s">
        <v>29</v>
      </c>
      <c r="K540" t="str">
        <f>VLOOKUP(J540,CountryName!$B:$C,2,TRUE)</f>
        <v>North America</v>
      </c>
      <c r="L540" t="s">
        <v>153</v>
      </c>
    </row>
    <row r="541" spans="1:12" x14ac:dyDescent="0.2">
      <c r="A541" s="1">
        <v>2022</v>
      </c>
      <c r="B541" t="str">
        <f>VLOOKUP(C541,References!$A$5:$B$8,2,TRUE)</f>
        <v>Mid level</v>
      </c>
      <c r="C541" t="s">
        <v>11</v>
      </c>
      <c r="D541" t="s">
        <v>147</v>
      </c>
      <c r="E541" t="str">
        <f>VLOOKUP(F541,References!$D$1:$F$50,3,TRUE)</f>
        <v>Data Scientist</v>
      </c>
      <c r="F541" t="s">
        <v>13</v>
      </c>
      <c r="G541">
        <v>102100</v>
      </c>
      <c r="H541" t="s">
        <v>29</v>
      </c>
      <c r="I541">
        <v>0</v>
      </c>
      <c r="J541" t="s">
        <v>29</v>
      </c>
      <c r="K541" t="str">
        <f>VLOOKUP(J541,CountryName!$B:$C,2,TRUE)</f>
        <v>North America</v>
      </c>
      <c r="L541" t="s">
        <v>153</v>
      </c>
    </row>
    <row r="542" spans="1:12" x14ac:dyDescent="0.2">
      <c r="A542" s="1">
        <v>2022</v>
      </c>
      <c r="B542" t="str">
        <f>VLOOKUP(C542,References!$A$5:$B$8,2,TRUE)</f>
        <v>Senior Level</v>
      </c>
      <c r="C542" t="s">
        <v>17</v>
      </c>
      <c r="D542" t="s">
        <v>147</v>
      </c>
      <c r="E542" t="str">
        <f>VLOOKUP(F542,References!$D$1:$F$50,3,TRUE)</f>
        <v>Data Analyst</v>
      </c>
      <c r="F542" t="s">
        <v>31</v>
      </c>
      <c r="G542">
        <v>115934</v>
      </c>
      <c r="H542" t="s">
        <v>29</v>
      </c>
      <c r="I542">
        <v>100</v>
      </c>
      <c r="J542" t="s">
        <v>29</v>
      </c>
      <c r="K542" t="str">
        <f>VLOOKUP(J542,CountryName!$B:$C,2,TRUE)</f>
        <v>North America</v>
      </c>
      <c r="L542" t="s">
        <v>153</v>
      </c>
    </row>
    <row r="543" spans="1:12" x14ac:dyDescent="0.2">
      <c r="A543" s="1">
        <v>2022</v>
      </c>
      <c r="B543" t="str">
        <f>VLOOKUP(C543,References!$A$5:$B$8,2,TRUE)</f>
        <v>Senior Level</v>
      </c>
      <c r="C543" t="s">
        <v>17</v>
      </c>
      <c r="D543" t="s">
        <v>147</v>
      </c>
      <c r="E543" t="str">
        <f>VLOOKUP(F543,References!$D$1:$F$50,3,TRUE)</f>
        <v>Data Analyst</v>
      </c>
      <c r="F543" t="s">
        <v>31</v>
      </c>
      <c r="G543">
        <v>81666</v>
      </c>
      <c r="H543" t="s">
        <v>29</v>
      </c>
      <c r="I543">
        <v>100</v>
      </c>
      <c r="J543" t="s">
        <v>29</v>
      </c>
      <c r="K543" t="str">
        <f>VLOOKUP(J543,CountryName!$B:$C,2,TRUE)</f>
        <v>North America</v>
      </c>
      <c r="L543" t="s">
        <v>153</v>
      </c>
    </row>
    <row r="544" spans="1:12" x14ac:dyDescent="0.2">
      <c r="A544" s="1">
        <v>2022</v>
      </c>
      <c r="B544" t="str">
        <f>VLOOKUP(C544,References!$A$5:$B$8,2,TRUE)</f>
        <v>Mid level</v>
      </c>
      <c r="C544" t="s">
        <v>11</v>
      </c>
      <c r="D544" t="s">
        <v>147</v>
      </c>
      <c r="E544" t="str">
        <f>VLOOKUP(F544,References!$D$1:$F$50,3,TRUE)</f>
        <v>Data Engineer</v>
      </c>
      <c r="F544" t="s">
        <v>43</v>
      </c>
      <c r="G544">
        <v>206699</v>
      </c>
      <c r="H544" t="s">
        <v>29</v>
      </c>
      <c r="I544">
        <v>0</v>
      </c>
      <c r="J544" t="s">
        <v>29</v>
      </c>
      <c r="K544" t="str">
        <f>VLOOKUP(J544,CountryName!$B:$C,2,TRUE)</f>
        <v>North America</v>
      </c>
      <c r="L544" t="s">
        <v>153</v>
      </c>
    </row>
    <row r="545" spans="1:12" x14ac:dyDescent="0.2">
      <c r="A545" s="1">
        <v>2022</v>
      </c>
      <c r="B545" t="str">
        <f>VLOOKUP(C545,References!$A$5:$B$8,2,TRUE)</f>
        <v>Mid level</v>
      </c>
      <c r="C545" t="s">
        <v>11</v>
      </c>
      <c r="D545" t="s">
        <v>147</v>
      </c>
      <c r="E545" t="str">
        <f>VLOOKUP(F545,References!$D$1:$F$50,3,TRUE)</f>
        <v>Data Engineer</v>
      </c>
      <c r="F545" t="s">
        <v>43</v>
      </c>
      <c r="G545">
        <v>99100</v>
      </c>
      <c r="H545" t="s">
        <v>29</v>
      </c>
      <c r="I545">
        <v>0</v>
      </c>
      <c r="J545" t="s">
        <v>29</v>
      </c>
      <c r="K545" t="str">
        <f>VLOOKUP(J545,CountryName!$B:$C,2,TRUE)</f>
        <v>North America</v>
      </c>
      <c r="L545" t="s">
        <v>153</v>
      </c>
    </row>
    <row r="546" spans="1:12" x14ac:dyDescent="0.2">
      <c r="A546" s="1">
        <v>2022</v>
      </c>
      <c r="B546" t="str">
        <f>VLOOKUP(C546,References!$A$5:$B$8,2,TRUE)</f>
        <v>Senior Level</v>
      </c>
      <c r="C546" t="s">
        <v>17</v>
      </c>
      <c r="D546" t="s">
        <v>147</v>
      </c>
      <c r="E546" t="str">
        <f>VLOOKUP(F546,References!$D$1:$F$50,3,TRUE)</f>
        <v>Data Engineer</v>
      </c>
      <c r="F546" t="s">
        <v>43</v>
      </c>
      <c r="G546">
        <v>130000</v>
      </c>
      <c r="H546" t="s">
        <v>29</v>
      </c>
      <c r="I546">
        <v>100</v>
      </c>
      <c r="J546" t="s">
        <v>29</v>
      </c>
      <c r="K546" t="str">
        <f>VLOOKUP(J546,CountryName!$B:$C,2,TRUE)</f>
        <v>North America</v>
      </c>
      <c r="L546" t="s">
        <v>153</v>
      </c>
    </row>
    <row r="547" spans="1:12" x14ac:dyDescent="0.2">
      <c r="A547" s="1">
        <v>2022</v>
      </c>
      <c r="B547" t="str">
        <f>VLOOKUP(C547,References!$A$5:$B$8,2,TRUE)</f>
        <v>Senior Level</v>
      </c>
      <c r="C547" t="s">
        <v>17</v>
      </c>
      <c r="D547" t="s">
        <v>147</v>
      </c>
      <c r="E547" t="str">
        <f>VLOOKUP(F547,References!$D$1:$F$50,3,TRUE)</f>
        <v>Data Engineer</v>
      </c>
      <c r="F547" t="s">
        <v>43</v>
      </c>
      <c r="G547">
        <v>115000</v>
      </c>
      <c r="H547" t="s">
        <v>29</v>
      </c>
      <c r="I547">
        <v>100</v>
      </c>
      <c r="J547" t="s">
        <v>29</v>
      </c>
      <c r="K547" t="str">
        <f>VLOOKUP(J547,CountryName!$B:$C,2,TRUE)</f>
        <v>North America</v>
      </c>
      <c r="L547" t="s">
        <v>153</v>
      </c>
    </row>
    <row r="548" spans="1:12" x14ac:dyDescent="0.2">
      <c r="A548" s="1">
        <v>2022</v>
      </c>
      <c r="B548" t="str">
        <f>VLOOKUP(C548,References!$A$5:$B$8,2,TRUE)</f>
        <v>Senior Level</v>
      </c>
      <c r="C548" t="s">
        <v>17</v>
      </c>
      <c r="D548" t="s">
        <v>147</v>
      </c>
      <c r="E548" t="str">
        <f>VLOOKUP(F548,References!$D$1:$F$50,3,TRUE)</f>
        <v>Data Engineer</v>
      </c>
      <c r="F548" t="s">
        <v>43</v>
      </c>
      <c r="G548">
        <v>110500</v>
      </c>
      <c r="H548" t="s">
        <v>29</v>
      </c>
      <c r="I548">
        <v>100</v>
      </c>
      <c r="J548" t="s">
        <v>29</v>
      </c>
      <c r="K548" t="str">
        <f>VLOOKUP(J548,CountryName!$B:$C,2,TRUE)</f>
        <v>North America</v>
      </c>
      <c r="L548" t="s">
        <v>153</v>
      </c>
    </row>
    <row r="549" spans="1:12" x14ac:dyDescent="0.2">
      <c r="A549" s="1">
        <v>2022</v>
      </c>
      <c r="B549" t="str">
        <f>VLOOKUP(C549,References!$A$5:$B$8,2,TRUE)</f>
        <v>Senior Level</v>
      </c>
      <c r="C549" t="s">
        <v>17</v>
      </c>
      <c r="D549" t="s">
        <v>147</v>
      </c>
      <c r="E549" t="str">
        <f>VLOOKUP(F549,References!$D$1:$F$50,3,TRUE)</f>
        <v>Data Engineer</v>
      </c>
      <c r="F549" t="s">
        <v>43</v>
      </c>
      <c r="G549">
        <v>130000</v>
      </c>
      <c r="H549" t="s">
        <v>29</v>
      </c>
      <c r="I549">
        <v>100</v>
      </c>
      <c r="J549" t="s">
        <v>29</v>
      </c>
      <c r="K549" t="str">
        <f>VLOOKUP(J549,CountryName!$B:$C,2,TRUE)</f>
        <v>North America</v>
      </c>
      <c r="L549" t="s">
        <v>153</v>
      </c>
    </row>
    <row r="550" spans="1:12" x14ac:dyDescent="0.2">
      <c r="A550" s="1">
        <v>2022</v>
      </c>
      <c r="B550" t="str">
        <f>VLOOKUP(C550,References!$A$5:$B$8,2,TRUE)</f>
        <v>Senior Level</v>
      </c>
      <c r="C550" t="s">
        <v>17</v>
      </c>
      <c r="D550" t="s">
        <v>147</v>
      </c>
      <c r="E550" t="str">
        <f>VLOOKUP(F550,References!$D$1:$F$50,3,TRUE)</f>
        <v>Data Analyst</v>
      </c>
      <c r="F550" t="s">
        <v>31</v>
      </c>
      <c r="G550">
        <v>99050</v>
      </c>
      <c r="H550" t="s">
        <v>29</v>
      </c>
      <c r="I550">
        <v>100</v>
      </c>
      <c r="J550" t="s">
        <v>29</v>
      </c>
      <c r="K550" t="str">
        <f>VLOOKUP(J550,CountryName!$B:$C,2,TRUE)</f>
        <v>North America</v>
      </c>
      <c r="L550" t="s">
        <v>153</v>
      </c>
    </row>
    <row r="551" spans="1:12" x14ac:dyDescent="0.2">
      <c r="A551" s="1">
        <v>2022</v>
      </c>
      <c r="B551" t="str">
        <f>VLOOKUP(C551,References!$A$5:$B$8,2,TRUE)</f>
        <v>Senior Level</v>
      </c>
      <c r="C551" t="s">
        <v>17</v>
      </c>
      <c r="D551" t="s">
        <v>147</v>
      </c>
      <c r="E551" t="str">
        <f>VLOOKUP(F551,References!$D$1:$F$50,3,TRUE)</f>
        <v>Data Engineer</v>
      </c>
      <c r="F551" t="s">
        <v>43</v>
      </c>
      <c r="G551">
        <v>160000</v>
      </c>
      <c r="H551" t="s">
        <v>29</v>
      </c>
      <c r="I551">
        <v>100</v>
      </c>
      <c r="J551" t="s">
        <v>29</v>
      </c>
      <c r="K551" t="str">
        <f>VLOOKUP(J551,CountryName!$B:$C,2,TRUE)</f>
        <v>North America</v>
      </c>
      <c r="L551" t="s">
        <v>153</v>
      </c>
    </row>
    <row r="552" spans="1:12" x14ac:dyDescent="0.2">
      <c r="A552" s="1">
        <v>2022</v>
      </c>
      <c r="B552" t="str">
        <f>VLOOKUP(C552,References!$A$5:$B$8,2,TRUE)</f>
        <v>Senior Level</v>
      </c>
      <c r="C552" t="s">
        <v>17</v>
      </c>
      <c r="D552" t="s">
        <v>147</v>
      </c>
      <c r="E552" t="str">
        <f>VLOOKUP(F552,References!$D$1:$F$50,3,TRUE)</f>
        <v>Data Scientist</v>
      </c>
      <c r="F552" t="s">
        <v>13</v>
      </c>
      <c r="G552">
        <v>205300</v>
      </c>
      <c r="H552" t="s">
        <v>29</v>
      </c>
      <c r="I552">
        <v>0</v>
      </c>
      <c r="J552" t="s">
        <v>29</v>
      </c>
      <c r="K552" t="str">
        <f>VLOOKUP(J552,CountryName!$B:$C,2,TRUE)</f>
        <v>North America</v>
      </c>
      <c r="L552" t="s">
        <v>151</v>
      </c>
    </row>
    <row r="553" spans="1:12" x14ac:dyDescent="0.2">
      <c r="A553" s="1">
        <v>2022</v>
      </c>
      <c r="B553" t="str">
        <f>VLOOKUP(C553,References!$A$5:$B$8,2,TRUE)</f>
        <v>Senior Level</v>
      </c>
      <c r="C553" t="s">
        <v>17</v>
      </c>
      <c r="D553" t="s">
        <v>147</v>
      </c>
      <c r="E553" t="str">
        <f>VLOOKUP(F553,References!$D$1:$F$50,3,TRUE)</f>
        <v>Data Scientist</v>
      </c>
      <c r="F553" t="s">
        <v>13</v>
      </c>
      <c r="G553">
        <v>140400</v>
      </c>
      <c r="H553" t="s">
        <v>29</v>
      </c>
      <c r="I553">
        <v>0</v>
      </c>
      <c r="J553" t="s">
        <v>29</v>
      </c>
      <c r="K553" t="str">
        <f>VLOOKUP(J553,CountryName!$B:$C,2,TRUE)</f>
        <v>North America</v>
      </c>
      <c r="L553" t="s">
        <v>151</v>
      </c>
    </row>
    <row r="554" spans="1:12" x14ac:dyDescent="0.2">
      <c r="A554" s="1">
        <v>2022</v>
      </c>
      <c r="B554" t="str">
        <f>VLOOKUP(C554,References!$A$5:$B$8,2,TRUE)</f>
        <v>Senior Level</v>
      </c>
      <c r="C554" t="s">
        <v>17</v>
      </c>
      <c r="D554" t="s">
        <v>147</v>
      </c>
      <c r="E554" t="str">
        <f>VLOOKUP(F554,References!$D$1:$F$50,3,TRUE)</f>
        <v>Data Scientist</v>
      </c>
      <c r="F554" t="s">
        <v>13</v>
      </c>
      <c r="G554">
        <v>176000</v>
      </c>
      <c r="H554" t="s">
        <v>29</v>
      </c>
      <c r="I554">
        <v>100</v>
      </c>
      <c r="J554" t="s">
        <v>29</v>
      </c>
      <c r="K554" t="str">
        <f>VLOOKUP(J554,CountryName!$B:$C,2,TRUE)</f>
        <v>North America</v>
      </c>
      <c r="L554" t="s">
        <v>153</v>
      </c>
    </row>
    <row r="555" spans="1:12" x14ac:dyDescent="0.2">
      <c r="A555" s="1">
        <v>2022</v>
      </c>
      <c r="B555" t="str">
        <f>VLOOKUP(C555,References!$A$5:$B$8,2,TRUE)</f>
        <v>Senior Level</v>
      </c>
      <c r="C555" t="s">
        <v>17</v>
      </c>
      <c r="D555" t="s">
        <v>147</v>
      </c>
      <c r="E555" t="str">
        <f>VLOOKUP(F555,References!$D$1:$F$50,3,TRUE)</f>
        <v>Data Scientist</v>
      </c>
      <c r="F555" t="s">
        <v>13</v>
      </c>
      <c r="G555">
        <v>144000</v>
      </c>
      <c r="H555" t="s">
        <v>29</v>
      </c>
      <c r="I555">
        <v>100</v>
      </c>
      <c r="J555" t="s">
        <v>29</v>
      </c>
      <c r="K555" t="str">
        <f>VLOOKUP(J555,CountryName!$B:$C,2,TRUE)</f>
        <v>North America</v>
      </c>
      <c r="L555" t="s">
        <v>153</v>
      </c>
    </row>
    <row r="556" spans="1:12" x14ac:dyDescent="0.2">
      <c r="A556" s="1">
        <v>2022</v>
      </c>
      <c r="B556" t="str">
        <f>VLOOKUP(C556,References!$A$5:$B$8,2,TRUE)</f>
        <v>Senior Level</v>
      </c>
      <c r="C556" t="s">
        <v>17</v>
      </c>
      <c r="D556" t="s">
        <v>147</v>
      </c>
      <c r="E556" t="str">
        <f>VLOOKUP(F556,References!$D$1:$F$50,3,TRUE)</f>
        <v>Data Engineer</v>
      </c>
      <c r="F556" t="s">
        <v>43</v>
      </c>
      <c r="G556">
        <v>200100</v>
      </c>
      <c r="H556" t="s">
        <v>29</v>
      </c>
      <c r="I556">
        <v>100</v>
      </c>
      <c r="J556" t="s">
        <v>29</v>
      </c>
      <c r="K556" t="str">
        <f>VLOOKUP(J556,CountryName!$B:$C,2,TRUE)</f>
        <v>North America</v>
      </c>
      <c r="L556" t="s">
        <v>153</v>
      </c>
    </row>
    <row r="557" spans="1:12" x14ac:dyDescent="0.2">
      <c r="A557" s="1">
        <v>2022</v>
      </c>
      <c r="B557" t="str">
        <f>VLOOKUP(C557,References!$A$5:$B$8,2,TRUE)</f>
        <v>Senior Level</v>
      </c>
      <c r="C557" t="s">
        <v>17</v>
      </c>
      <c r="D557" t="s">
        <v>147</v>
      </c>
      <c r="E557" t="str">
        <f>VLOOKUP(F557,References!$D$1:$F$50,3,TRUE)</f>
        <v>Data Engineer</v>
      </c>
      <c r="F557" t="s">
        <v>43</v>
      </c>
      <c r="G557">
        <v>160000</v>
      </c>
      <c r="H557" t="s">
        <v>29</v>
      </c>
      <c r="I557">
        <v>100</v>
      </c>
      <c r="J557" t="s">
        <v>29</v>
      </c>
      <c r="K557" t="str">
        <f>VLOOKUP(J557,CountryName!$B:$C,2,TRUE)</f>
        <v>North America</v>
      </c>
      <c r="L557" t="s">
        <v>153</v>
      </c>
    </row>
    <row r="558" spans="1:12" x14ac:dyDescent="0.2">
      <c r="A558" s="1">
        <v>2022</v>
      </c>
      <c r="B558" t="str">
        <f>VLOOKUP(C558,References!$A$5:$B$8,2,TRUE)</f>
        <v>Senior Level</v>
      </c>
      <c r="C558" t="s">
        <v>17</v>
      </c>
      <c r="D558" t="s">
        <v>147</v>
      </c>
      <c r="E558" t="str">
        <f>VLOOKUP(F558,References!$D$1:$F$50,3,TRUE)</f>
        <v>Data Engineer</v>
      </c>
      <c r="F558" t="s">
        <v>43</v>
      </c>
      <c r="G558">
        <v>145000</v>
      </c>
      <c r="H558" t="s">
        <v>29</v>
      </c>
      <c r="I558">
        <v>100</v>
      </c>
      <c r="J558" t="s">
        <v>29</v>
      </c>
      <c r="K558" t="str">
        <f>VLOOKUP(J558,CountryName!$B:$C,2,TRUE)</f>
        <v>North America</v>
      </c>
      <c r="L558" t="s">
        <v>153</v>
      </c>
    </row>
    <row r="559" spans="1:12" x14ac:dyDescent="0.2">
      <c r="A559" s="1">
        <v>2022</v>
      </c>
      <c r="B559" t="str">
        <f>VLOOKUP(C559,References!$A$5:$B$8,2,TRUE)</f>
        <v>Senior Level</v>
      </c>
      <c r="C559" t="s">
        <v>17</v>
      </c>
      <c r="D559" t="s">
        <v>147</v>
      </c>
      <c r="E559" t="str">
        <f>VLOOKUP(F559,References!$D$1:$F$50,3,TRUE)</f>
        <v>Data Engineer</v>
      </c>
      <c r="F559" t="s">
        <v>43</v>
      </c>
      <c r="G559">
        <v>70500</v>
      </c>
      <c r="H559" t="s">
        <v>29</v>
      </c>
      <c r="I559">
        <v>0</v>
      </c>
      <c r="J559" t="s">
        <v>29</v>
      </c>
      <c r="K559" t="str">
        <f>VLOOKUP(J559,CountryName!$B:$C,2,TRUE)</f>
        <v>North America</v>
      </c>
      <c r="L559" t="s">
        <v>153</v>
      </c>
    </row>
    <row r="560" spans="1:12" x14ac:dyDescent="0.2">
      <c r="A560" s="1">
        <v>2022</v>
      </c>
      <c r="B560" t="str">
        <f>VLOOKUP(C560,References!$A$5:$B$8,2,TRUE)</f>
        <v>Senior Level</v>
      </c>
      <c r="C560" t="s">
        <v>17</v>
      </c>
      <c r="D560" t="s">
        <v>147</v>
      </c>
      <c r="E560" t="str">
        <f>VLOOKUP(F560,References!$D$1:$F$50,3,TRUE)</f>
        <v>Data Scientist</v>
      </c>
      <c r="F560" t="s">
        <v>13</v>
      </c>
      <c r="G560">
        <v>205300</v>
      </c>
      <c r="H560" t="s">
        <v>29</v>
      </c>
      <c r="I560">
        <v>0</v>
      </c>
      <c r="J560" t="s">
        <v>29</v>
      </c>
      <c r="K560" t="str">
        <f>VLOOKUP(J560,CountryName!$B:$C,2,TRUE)</f>
        <v>North America</v>
      </c>
      <c r="L560" t="s">
        <v>153</v>
      </c>
    </row>
    <row r="561" spans="1:12" x14ac:dyDescent="0.2">
      <c r="A561" s="1">
        <v>2022</v>
      </c>
      <c r="B561" t="str">
        <f>VLOOKUP(C561,References!$A$5:$B$8,2,TRUE)</f>
        <v>Senior Level</v>
      </c>
      <c r="C561" t="s">
        <v>17</v>
      </c>
      <c r="D561" t="s">
        <v>147</v>
      </c>
      <c r="E561" t="str">
        <f>VLOOKUP(F561,References!$D$1:$F$50,3,TRUE)</f>
        <v>Data Scientist</v>
      </c>
      <c r="F561" t="s">
        <v>13</v>
      </c>
      <c r="G561">
        <v>140400</v>
      </c>
      <c r="H561" t="s">
        <v>29</v>
      </c>
      <c r="I561">
        <v>0</v>
      </c>
      <c r="J561" t="s">
        <v>29</v>
      </c>
      <c r="K561" t="str">
        <f>VLOOKUP(J561,CountryName!$B:$C,2,TRUE)</f>
        <v>North America</v>
      </c>
      <c r="L561" t="s">
        <v>153</v>
      </c>
    </row>
    <row r="562" spans="1:12" x14ac:dyDescent="0.2">
      <c r="A562" s="1">
        <v>2022</v>
      </c>
      <c r="B562" t="str">
        <f>VLOOKUP(C562,References!$A$5:$B$8,2,TRUE)</f>
        <v>Senior Level</v>
      </c>
      <c r="C562" t="s">
        <v>17</v>
      </c>
      <c r="D562" t="s">
        <v>147</v>
      </c>
      <c r="E562" t="str">
        <f>VLOOKUP(F562,References!$D$1:$F$50,3,TRUE)</f>
        <v>Data Engineer</v>
      </c>
      <c r="F562" t="s">
        <v>131</v>
      </c>
      <c r="G562">
        <v>205300</v>
      </c>
      <c r="H562" t="s">
        <v>29</v>
      </c>
      <c r="I562">
        <v>0</v>
      </c>
      <c r="J562" t="s">
        <v>29</v>
      </c>
      <c r="K562" t="str">
        <f>VLOOKUP(J562,CountryName!$B:$C,2,TRUE)</f>
        <v>North America</v>
      </c>
      <c r="L562" t="s">
        <v>153</v>
      </c>
    </row>
    <row r="563" spans="1:12" x14ac:dyDescent="0.2">
      <c r="A563" s="1">
        <v>2022</v>
      </c>
      <c r="B563" t="str">
        <f>VLOOKUP(C563,References!$A$5:$B$8,2,TRUE)</f>
        <v>Senior Level</v>
      </c>
      <c r="C563" t="s">
        <v>17</v>
      </c>
      <c r="D563" t="s">
        <v>147</v>
      </c>
      <c r="E563" t="str">
        <f>VLOOKUP(F563,References!$D$1:$F$50,3,TRUE)</f>
        <v>Data Engineer</v>
      </c>
      <c r="F563" t="s">
        <v>131</v>
      </c>
      <c r="G563">
        <v>184700</v>
      </c>
      <c r="H563" t="s">
        <v>29</v>
      </c>
      <c r="I563">
        <v>0</v>
      </c>
      <c r="J563" t="s">
        <v>29</v>
      </c>
      <c r="K563" t="str">
        <f>VLOOKUP(J563,CountryName!$B:$C,2,TRUE)</f>
        <v>North America</v>
      </c>
      <c r="L563" t="s">
        <v>153</v>
      </c>
    </row>
    <row r="564" spans="1:12" x14ac:dyDescent="0.2">
      <c r="A564" s="1">
        <v>2022</v>
      </c>
      <c r="B564" t="str">
        <f>VLOOKUP(C564,References!$A$5:$B$8,2,TRUE)</f>
        <v>Senior Level</v>
      </c>
      <c r="C564" t="s">
        <v>17</v>
      </c>
      <c r="D564" t="s">
        <v>147</v>
      </c>
      <c r="E564" t="str">
        <f>VLOOKUP(F564,References!$D$1:$F$50,3,TRUE)</f>
        <v>Data Engineer</v>
      </c>
      <c r="F564" t="s">
        <v>43</v>
      </c>
      <c r="G564">
        <v>175100</v>
      </c>
      <c r="H564" t="s">
        <v>29</v>
      </c>
      <c r="I564">
        <v>100</v>
      </c>
      <c r="J564" t="s">
        <v>29</v>
      </c>
      <c r="K564" t="str">
        <f>VLOOKUP(J564,CountryName!$B:$C,2,TRUE)</f>
        <v>North America</v>
      </c>
      <c r="L564" t="s">
        <v>153</v>
      </c>
    </row>
    <row r="565" spans="1:12" x14ac:dyDescent="0.2">
      <c r="A565" s="1">
        <v>2022</v>
      </c>
      <c r="B565" t="str">
        <f>VLOOKUP(C565,References!$A$5:$B$8,2,TRUE)</f>
        <v>Senior Level</v>
      </c>
      <c r="C565" t="s">
        <v>17</v>
      </c>
      <c r="D565" t="s">
        <v>147</v>
      </c>
      <c r="E565" t="str">
        <f>VLOOKUP(F565,References!$D$1:$F$50,3,TRUE)</f>
        <v>Data Engineer</v>
      </c>
      <c r="F565" t="s">
        <v>43</v>
      </c>
      <c r="G565">
        <v>140250</v>
      </c>
      <c r="H565" t="s">
        <v>29</v>
      </c>
      <c r="I565">
        <v>100</v>
      </c>
      <c r="J565" t="s">
        <v>29</v>
      </c>
      <c r="K565" t="str">
        <f>VLOOKUP(J565,CountryName!$B:$C,2,TRUE)</f>
        <v>North America</v>
      </c>
      <c r="L565" t="s">
        <v>153</v>
      </c>
    </row>
    <row r="566" spans="1:12" x14ac:dyDescent="0.2">
      <c r="A566" s="1">
        <v>2022</v>
      </c>
      <c r="B566" t="str">
        <f>VLOOKUP(C566,References!$A$5:$B$8,2,TRUE)</f>
        <v>Senior Level</v>
      </c>
      <c r="C566" t="s">
        <v>17</v>
      </c>
      <c r="D566" t="s">
        <v>147</v>
      </c>
      <c r="E566" t="str">
        <f>VLOOKUP(F566,References!$D$1:$F$50,3,TRUE)</f>
        <v>Data Analyst</v>
      </c>
      <c r="F566" t="s">
        <v>31</v>
      </c>
      <c r="G566">
        <v>116150</v>
      </c>
      <c r="H566" t="s">
        <v>29</v>
      </c>
      <c r="I566">
        <v>100</v>
      </c>
      <c r="J566" t="s">
        <v>29</v>
      </c>
      <c r="K566" t="str">
        <f>VLOOKUP(J566,CountryName!$B:$C,2,TRUE)</f>
        <v>North America</v>
      </c>
      <c r="L566" t="s">
        <v>153</v>
      </c>
    </row>
    <row r="567" spans="1:12" x14ac:dyDescent="0.2">
      <c r="A567" s="1">
        <v>2022</v>
      </c>
      <c r="B567" t="str">
        <f>VLOOKUP(C567,References!$A$5:$B$8,2,TRUE)</f>
        <v>Senior Level</v>
      </c>
      <c r="C567" t="s">
        <v>17</v>
      </c>
      <c r="D567" t="s">
        <v>147</v>
      </c>
      <c r="E567" t="str">
        <f>VLOOKUP(F567,References!$D$1:$F$50,3,TRUE)</f>
        <v>Data Engineer</v>
      </c>
      <c r="F567" t="s">
        <v>43</v>
      </c>
      <c r="G567">
        <v>54000</v>
      </c>
      <c r="H567" t="s">
        <v>29</v>
      </c>
      <c r="I567">
        <v>0</v>
      </c>
      <c r="J567" t="s">
        <v>29</v>
      </c>
      <c r="K567" t="str">
        <f>VLOOKUP(J567,CountryName!$B:$C,2,TRUE)</f>
        <v>North America</v>
      </c>
      <c r="L567" t="s">
        <v>153</v>
      </c>
    </row>
    <row r="568" spans="1:12" x14ac:dyDescent="0.2">
      <c r="A568" s="1">
        <v>2022</v>
      </c>
      <c r="B568" t="str">
        <f>VLOOKUP(C568,References!$A$5:$B$8,2,TRUE)</f>
        <v>Senior Level</v>
      </c>
      <c r="C568" t="s">
        <v>17</v>
      </c>
      <c r="D568" t="s">
        <v>147</v>
      </c>
      <c r="E568" t="str">
        <f>VLOOKUP(F568,References!$D$1:$F$50,3,TRUE)</f>
        <v>Data Analyst</v>
      </c>
      <c r="F568" t="s">
        <v>31</v>
      </c>
      <c r="G568">
        <v>170000</v>
      </c>
      <c r="H568" t="s">
        <v>29</v>
      </c>
      <c r="I568">
        <v>100</v>
      </c>
      <c r="J568" t="s">
        <v>29</v>
      </c>
      <c r="K568" t="str">
        <f>VLOOKUP(J568,CountryName!$B:$C,2,TRUE)</f>
        <v>North America</v>
      </c>
      <c r="L568" t="s">
        <v>153</v>
      </c>
    </row>
    <row r="569" spans="1:12" x14ac:dyDescent="0.2">
      <c r="A569" s="1">
        <v>2022</v>
      </c>
      <c r="B569" t="str">
        <f>VLOOKUP(C569,References!$A$5:$B$8,2,TRUE)</f>
        <v>Mid level</v>
      </c>
      <c r="C569" t="s">
        <v>11</v>
      </c>
      <c r="D569" t="s">
        <v>147</v>
      </c>
      <c r="E569" t="str">
        <f>VLOOKUP(F569,References!$D$1:$F$50,3,TRUE)</f>
        <v>Data Analyst</v>
      </c>
      <c r="F569" t="s">
        <v>31</v>
      </c>
      <c r="G569">
        <v>65438</v>
      </c>
      <c r="H569" t="s">
        <v>24</v>
      </c>
      <c r="I569">
        <v>0</v>
      </c>
      <c r="J569" t="s">
        <v>24</v>
      </c>
      <c r="K569" t="str">
        <f>VLOOKUP(J569,CountryName!$B:$C,2,TRUE)</f>
        <v>Europe</v>
      </c>
      <c r="L569" t="s">
        <v>153</v>
      </c>
    </row>
    <row r="570" spans="1:12" x14ac:dyDescent="0.2">
      <c r="A570" s="1">
        <v>2022</v>
      </c>
      <c r="B570" t="str">
        <f>VLOOKUP(C570,References!$A$5:$B$8,2,TRUE)</f>
        <v>Senior Level</v>
      </c>
      <c r="C570" t="s">
        <v>17</v>
      </c>
      <c r="D570" t="s">
        <v>147</v>
      </c>
      <c r="E570" t="str">
        <f>VLOOKUP(F570,References!$D$1:$F$50,3,TRUE)</f>
        <v>Data Analyst</v>
      </c>
      <c r="F570" t="s">
        <v>31</v>
      </c>
      <c r="G570">
        <v>80000</v>
      </c>
      <c r="H570" t="s">
        <v>29</v>
      </c>
      <c r="I570">
        <v>100</v>
      </c>
      <c r="J570" t="s">
        <v>29</v>
      </c>
      <c r="K570" t="str">
        <f>VLOOKUP(J570,CountryName!$B:$C,2,TRUE)</f>
        <v>North America</v>
      </c>
      <c r="L570" t="s">
        <v>153</v>
      </c>
    </row>
    <row r="571" spans="1:12" x14ac:dyDescent="0.2">
      <c r="A571" s="1">
        <v>2022</v>
      </c>
      <c r="B571" t="str">
        <f>VLOOKUP(C571,References!$A$5:$B$8,2,TRUE)</f>
        <v>Senior Level</v>
      </c>
      <c r="C571" t="s">
        <v>17</v>
      </c>
      <c r="D571" t="s">
        <v>147</v>
      </c>
      <c r="E571" t="str">
        <f>VLOOKUP(F571,References!$D$1:$F$50,3,TRUE)</f>
        <v>Data Scientist</v>
      </c>
      <c r="F571" t="s">
        <v>13</v>
      </c>
      <c r="G571">
        <v>140000</v>
      </c>
      <c r="H571" t="s">
        <v>29</v>
      </c>
      <c r="I571">
        <v>100</v>
      </c>
      <c r="J571" t="s">
        <v>29</v>
      </c>
      <c r="K571" t="str">
        <f>VLOOKUP(J571,CountryName!$B:$C,2,TRUE)</f>
        <v>North America</v>
      </c>
      <c r="L571" t="s">
        <v>153</v>
      </c>
    </row>
    <row r="572" spans="1:12" x14ac:dyDescent="0.2">
      <c r="A572" s="1">
        <v>2022</v>
      </c>
      <c r="B572" t="str">
        <f>VLOOKUP(C572,References!$A$5:$B$8,2,TRUE)</f>
        <v>Senior Level</v>
      </c>
      <c r="C572" t="s">
        <v>17</v>
      </c>
      <c r="D572" t="s">
        <v>147</v>
      </c>
      <c r="E572" t="str">
        <f>VLOOKUP(F572,References!$D$1:$F$50,3,TRUE)</f>
        <v>Data Scientist</v>
      </c>
      <c r="F572" t="s">
        <v>13</v>
      </c>
      <c r="G572">
        <v>210000</v>
      </c>
      <c r="H572" t="s">
        <v>29</v>
      </c>
      <c r="I572">
        <v>100</v>
      </c>
      <c r="J572" t="s">
        <v>29</v>
      </c>
      <c r="K572" t="str">
        <f>VLOOKUP(J572,CountryName!$B:$C,2,TRUE)</f>
        <v>North America</v>
      </c>
      <c r="L572" t="s">
        <v>153</v>
      </c>
    </row>
    <row r="573" spans="1:12" x14ac:dyDescent="0.2">
      <c r="A573" s="1">
        <v>2022</v>
      </c>
      <c r="B573" t="str">
        <f>VLOOKUP(C573,References!$A$5:$B$8,2,TRUE)</f>
        <v>Senior Level</v>
      </c>
      <c r="C573" t="s">
        <v>17</v>
      </c>
      <c r="D573" t="s">
        <v>147</v>
      </c>
      <c r="E573" t="str">
        <f>VLOOKUP(F573,References!$D$1:$F$50,3,TRUE)</f>
        <v>Data Scientist</v>
      </c>
      <c r="F573" t="s">
        <v>13</v>
      </c>
      <c r="G573">
        <v>140000</v>
      </c>
      <c r="H573" t="s">
        <v>29</v>
      </c>
      <c r="I573">
        <v>100</v>
      </c>
      <c r="J573" t="s">
        <v>29</v>
      </c>
      <c r="K573" t="str">
        <f>VLOOKUP(J573,CountryName!$B:$C,2,TRUE)</f>
        <v>North America</v>
      </c>
      <c r="L573" t="s">
        <v>153</v>
      </c>
    </row>
    <row r="574" spans="1:12" x14ac:dyDescent="0.2">
      <c r="A574" s="1">
        <v>2022</v>
      </c>
      <c r="B574" t="str">
        <f>VLOOKUP(C574,References!$A$5:$B$8,2,TRUE)</f>
        <v>Senior Level</v>
      </c>
      <c r="C574" t="s">
        <v>17</v>
      </c>
      <c r="D574" t="s">
        <v>147</v>
      </c>
      <c r="E574" t="str">
        <f>VLOOKUP(F574,References!$D$1:$F$50,3,TRUE)</f>
        <v>Data Analyst</v>
      </c>
      <c r="F574" t="s">
        <v>31</v>
      </c>
      <c r="G574">
        <v>100000</v>
      </c>
      <c r="H574" t="s">
        <v>29</v>
      </c>
      <c r="I574">
        <v>100</v>
      </c>
      <c r="J574" t="s">
        <v>29</v>
      </c>
      <c r="K574" t="str">
        <f>VLOOKUP(J574,CountryName!$B:$C,2,TRUE)</f>
        <v>North America</v>
      </c>
      <c r="L574" t="s">
        <v>153</v>
      </c>
    </row>
    <row r="575" spans="1:12" x14ac:dyDescent="0.2">
      <c r="A575" s="1">
        <v>2022</v>
      </c>
      <c r="B575" t="str">
        <f>VLOOKUP(C575,References!$A$5:$B$8,2,TRUE)</f>
        <v>Senior Level</v>
      </c>
      <c r="C575" t="s">
        <v>17</v>
      </c>
      <c r="D575" t="s">
        <v>147</v>
      </c>
      <c r="E575" t="str">
        <f>VLOOKUP(F575,References!$D$1:$F$50,3,TRUE)</f>
        <v>Data Analyst</v>
      </c>
      <c r="F575" t="s">
        <v>31</v>
      </c>
      <c r="G575">
        <v>69000</v>
      </c>
      <c r="H575" t="s">
        <v>29</v>
      </c>
      <c r="I575">
        <v>100</v>
      </c>
      <c r="J575" t="s">
        <v>29</v>
      </c>
      <c r="K575" t="str">
        <f>VLOOKUP(J575,CountryName!$B:$C,2,TRUE)</f>
        <v>North America</v>
      </c>
      <c r="L575" t="s">
        <v>153</v>
      </c>
    </row>
    <row r="576" spans="1:12" x14ac:dyDescent="0.2">
      <c r="A576" s="1">
        <v>2022</v>
      </c>
      <c r="B576" t="str">
        <f>VLOOKUP(C576,References!$A$5:$B$8,2,TRUE)</f>
        <v>Senior Level</v>
      </c>
      <c r="C576" t="s">
        <v>17</v>
      </c>
      <c r="D576" t="s">
        <v>147</v>
      </c>
      <c r="E576" t="str">
        <f>VLOOKUP(F576,References!$D$1:$F$50,3,TRUE)</f>
        <v>Data Scientist</v>
      </c>
      <c r="F576" t="s">
        <v>13</v>
      </c>
      <c r="G576">
        <v>210000</v>
      </c>
      <c r="H576" t="s">
        <v>29</v>
      </c>
      <c r="I576">
        <v>100</v>
      </c>
      <c r="J576" t="s">
        <v>29</v>
      </c>
      <c r="K576" t="str">
        <f>VLOOKUP(J576,CountryName!$B:$C,2,TRUE)</f>
        <v>North America</v>
      </c>
      <c r="L576" t="s">
        <v>153</v>
      </c>
    </row>
    <row r="577" spans="1:12" x14ac:dyDescent="0.2">
      <c r="A577" s="1">
        <v>2022</v>
      </c>
      <c r="B577" t="str">
        <f>VLOOKUP(C577,References!$A$5:$B$8,2,TRUE)</f>
        <v>Senior Level</v>
      </c>
      <c r="C577" t="s">
        <v>17</v>
      </c>
      <c r="D577" t="s">
        <v>147</v>
      </c>
      <c r="E577" t="str">
        <f>VLOOKUP(F577,References!$D$1:$F$50,3,TRUE)</f>
        <v>Data Scientist</v>
      </c>
      <c r="F577" t="s">
        <v>13</v>
      </c>
      <c r="G577">
        <v>140000</v>
      </c>
      <c r="H577" t="s">
        <v>29</v>
      </c>
      <c r="I577">
        <v>100</v>
      </c>
      <c r="J577" t="s">
        <v>29</v>
      </c>
      <c r="K577" t="str">
        <f>VLOOKUP(J577,CountryName!$B:$C,2,TRUE)</f>
        <v>North America</v>
      </c>
      <c r="L577" t="s">
        <v>153</v>
      </c>
    </row>
    <row r="578" spans="1:12" x14ac:dyDescent="0.2">
      <c r="A578" s="1">
        <v>2022</v>
      </c>
      <c r="B578" t="str">
        <f>VLOOKUP(C578,References!$A$5:$B$8,2,TRUE)</f>
        <v>Senior Level</v>
      </c>
      <c r="C578" t="s">
        <v>17</v>
      </c>
      <c r="D578" t="s">
        <v>147</v>
      </c>
      <c r="E578" t="str">
        <f>VLOOKUP(F578,References!$D$1:$F$50,3,TRUE)</f>
        <v>Data Scientist</v>
      </c>
      <c r="F578" t="s">
        <v>13</v>
      </c>
      <c r="G578">
        <v>210000</v>
      </c>
      <c r="H578" t="s">
        <v>29</v>
      </c>
      <c r="I578">
        <v>100</v>
      </c>
      <c r="J578" t="s">
        <v>29</v>
      </c>
      <c r="K578" t="str">
        <f>VLOOKUP(J578,CountryName!$B:$C,2,TRUE)</f>
        <v>North America</v>
      </c>
      <c r="L578" t="s">
        <v>153</v>
      </c>
    </row>
    <row r="579" spans="1:12" x14ac:dyDescent="0.2">
      <c r="A579" s="1">
        <v>2022</v>
      </c>
      <c r="B579" t="str">
        <f>VLOOKUP(C579,References!$A$5:$B$8,2,TRUE)</f>
        <v>Senior Level</v>
      </c>
      <c r="C579" t="s">
        <v>17</v>
      </c>
      <c r="D579" t="s">
        <v>147</v>
      </c>
      <c r="E579" t="str">
        <f>VLOOKUP(F579,References!$D$1:$F$50,3,TRUE)</f>
        <v>Data Analyst</v>
      </c>
      <c r="F579" t="s">
        <v>31</v>
      </c>
      <c r="G579">
        <v>150075</v>
      </c>
      <c r="H579" t="s">
        <v>29</v>
      </c>
      <c r="I579">
        <v>100</v>
      </c>
      <c r="J579" t="s">
        <v>29</v>
      </c>
      <c r="K579" t="str">
        <f>VLOOKUP(J579,CountryName!$B:$C,2,TRUE)</f>
        <v>North America</v>
      </c>
      <c r="L579" t="s">
        <v>153</v>
      </c>
    </row>
    <row r="580" spans="1:12" x14ac:dyDescent="0.2">
      <c r="A580" s="1">
        <v>2022</v>
      </c>
      <c r="B580" t="str">
        <f>VLOOKUP(C580,References!$A$5:$B$8,2,TRUE)</f>
        <v>Senior Level</v>
      </c>
      <c r="C580" t="s">
        <v>17</v>
      </c>
      <c r="D580" t="s">
        <v>147</v>
      </c>
      <c r="E580" t="str">
        <f>VLOOKUP(F580,References!$D$1:$F$50,3,TRUE)</f>
        <v>Data Engineer</v>
      </c>
      <c r="F580" t="s">
        <v>43</v>
      </c>
      <c r="G580">
        <v>100000</v>
      </c>
      <c r="H580" t="s">
        <v>29</v>
      </c>
      <c r="I580">
        <v>100</v>
      </c>
      <c r="J580" t="s">
        <v>29</v>
      </c>
      <c r="K580" t="str">
        <f>VLOOKUP(J580,CountryName!$B:$C,2,TRUE)</f>
        <v>North America</v>
      </c>
      <c r="L580" t="s">
        <v>153</v>
      </c>
    </row>
    <row r="581" spans="1:12" x14ac:dyDescent="0.2">
      <c r="A581" s="1">
        <v>2022</v>
      </c>
      <c r="B581" t="str">
        <f>VLOOKUP(C581,References!$A$5:$B$8,2,TRUE)</f>
        <v>Senior Level</v>
      </c>
      <c r="C581" t="s">
        <v>17</v>
      </c>
      <c r="D581" t="s">
        <v>147</v>
      </c>
      <c r="E581" t="str">
        <f>VLOOKUP(F581,References!$D$1:$F$50,3,TRUE)</f>
        <v>Data Engineer</v>
      </c>
      <c r="F581" t="s">
        <v>43</v>
      </c>
      <c r="G581">
        <v>25000</v>
      </c>
      <c r="H581" t="s">
        <v>29</v>
      </c>
      <c r="I581">
        <v>100</v>
      </c>
      <c r="J581" t="s">
        <v>29</v>
      </c>
      <c r="K581" t="str">
        <f>VLOOKUP(J581,CountryName!$B:$C,2,TRUE)</f>
        <v>North America</v>
      </c>
      <c r="L581" t="s">
        <v>153</v>
      </c>
    </row>
    <row r="582" spans="1:12" x14ac:dyDescent="0.2">
      <c r="A582" s="1">
        <v>2022</v>
      </c>
      <c r="B582" t="str">
        <f>VLOOKUP(C582,References!$A$5:$B$8,2,TRUE)</f>
        <v>Senior Level</v>
      </c>
      <c r="C582" t="s">
        <v>17</v>
      </c>
      <c r="D582" t="s">
        <v>147</v>
      </c>
      <c r="E582" t="str">
        <f>VLOOKUP(F582,References!$D$1:$F$50,3,TRUE)</f>
        <v>Data Analyst</v>
      </c>
      <c r="F582" t="s">
        <v>31</v>
      </c>
      <c r="G582">
        <v>126500</v>
      </c>
      <c r="H582" t="s">
        <v>29</v>
      </c>
      <c r="I582">
        <v>100</v>
      </c>
      <c r="J582" t="s">
        <v>29</v>
      </c>
      <c r="K582" t="str">
        <f>VLOOKUP(J582,CountryName!$B:$C,2,TRUE)</f>
        <v>North America</v>
      </c>
      <c r="L582" t="s">
        <v>153</v>
      </c>
    </row>
    <row r="583" spans="1:12" x14ac:dyDescent="0.2">
      <c r="A583" s="1">
        <v>2022</v>
      </c>
      <c r="B583" t="str">
        <f>VLOOKUP(C583,References!$A$5:$B$8,2,TRUE)</f>
        <v>Senior Level</v>
      </c>
      <c r="C583" t="s">
        <v>17</v>
      </c>
      <c r="D583" t="s">
        <v>147</v>
      </c>
      <c r="E583" t="str">
        <f>VLOOKUP(F583,References!$D$1:$F$50,3,TRUE)</f>
        <v>Data Analyst</v>
      </c>
      <c r="F583" t="s">
        <v>31</v>
      </c>
      <c r="G583">
        <v>106260</v>
      </c>
      <c r="H583" t="s">
        <v>29</v>
      </c>
      <c r="I583">
        <v>100</v>
      </c>
      <c r="J583" t="s">
        <v>29</v>
      </c>
      <c r="K583" t="str">
        <f>VLOOKUP(J583,CountryName!$B:$C,2,TRUE)</f>
        <v>North America</v>
      </c>
      <c r="L583" t="s">
        <v>153</v>
      </c>
    </row>
    <row r="584" spans="1:12" x14ac:dyDescent="0.2">
      <c r="A584" s="1">
        <v>2022</v>
      </c>
      <c r="B584" t="str">
        <f>VLOOKUP(C584,References!$A$5:$B$8,2,TRUE)</f>
        <v>Senior Level</v>
      </c>
      <c r="C584" t="s">
        <v>17</v>
      </c>
      <c r="D584" t="s">
        <v>147</v>
      </c>
      <c r="E584" t="str">
        <f>VLOOKUP(F584,References!$D$1:$F$50,3,TRUE)</f>
        <v>Data Engineer</v>
      </c>
      <c r="F584" t="s">
        <v>43</v>
      </c>
      <c r="G584">
        <v>220110</v>
      </c>
      <c r="H584" t="s">
        <v>29</v>
      </c>
      <c r="I584">
        <v>100</v>
      </c>
      <c r="J584" t="s">
        <v>29</v>
      </c>
      <c r="K584" t="str">
        <f>VLOOKUP(J584,CountryName!$B:$C,2,TRUE)</f>
        <v>North America</v>
      </c>
      <c r="L584" t="s">
        <v>153</v>
      </c>
    </row>
    <row r="585" spans="1:12" x14ac:dyDescent="0.2">
      <c r="A585" s="1">
        <v>2022</v>
      </c>
      <c r="B585" t="str">
        <f>VLOOKUP(C585,References!$A$5:$B$8,2,TRUE)</f>
        <v>Senior Level</v>
      </c>
      <c r="C585" t="s">
        <v>17</v>
      </c>
      <c r="D585" t="s">
        <v>147</v>
      </c>
      <c r="E585" t="str">
        <f>VLOOKUP(F585,References!$D$1:$F$50,3,TRUE)</f>
        <v>Data Engineer</v>
      </c>
      <c r="F585" t="s">
        <v>43</v>
      </c>
      <c r="G585">
        <v>160080</v>
      </c>
      <c r="H585" t="s">
        <v>29</v>
      </c>
      <c r="I585">
        <v>100</v>
      </c>
      <c r="J585" t="s">
        <v>29</v>
      </c>
      <c r="K585" t="str">
        <f>VLOOKUP(J585,CountryName!$B:$C,2,TRUE)</f>
        <v>North America</v>
      </c>
      <c r="L585" t="s">
        <v>153</v>
      </c>
    </row>
    <row r="586" spans="1:12" x14ac:dyDescent="0.2">
      <c r="A586" s="1">
        <v>2022</v>
      </c>
      <c r="B586" t="str">
        <f>VLOOKUP(C586,References!$A$5:$B$8,2,TRUE)</f>
        <v>Senior Level</v>
      </c>
      <c r="C586" t="s">
        <v>17</v>
      </c>
      <c r="D586" t="s">
        <v>147</v>
      </c>
      <c r="E586" t="str">
        <f>VLOOKUP(F586,References!$D$1:$F$50,3,TRUE)</f>
        <v>Data Analyst</v>
      </c>
      <c r="F586" t="s">
        <v>31</v>
      </c>
      <c r="G586">
        <v>105000</v>
      </c>
      <c r="H586" t="s">
        <v>29</v>
      </c>
      <c r="I586">
        <v>100</v>
      </c>
      <c r="J586" t="s">
        <v>29</v>
      </c>
      <c r="K586" t="str">
        <f>VLOOKUP(J586,CountryName!$B:$C,2,TRUE)</f>
        <v>North America</v>
      </c>
      <c r="L586" t="s">
        <v>153</v>
      </c>
    </row>
    <row r="587" spans="1:12" x14ac:dyDescent="0.2">
      <c r="A587" s="1">
        <v>2022</v>
      </c>
      <c r="B587" t="str">
        <f>VLOOKUP(C587,References!$A$5:$B$8,2,TRUE)</f>
        <v>Senior Level</v>
      </c>
      <c r="C587" t="s">
        <v>17</v>
      </c>
      <c r="D587" t="s">
        <v>147</v>
      </c>
      <c r="E587" t="str">
        <f>VLOOKUP(F587,References!$D$1:$F$50,3,TRUE)</f>
        <v>Data Analyst</v>
      </c>
      <c r="F587" t="s">
        <v>31</v>
      </c>
      <c r="G587">
        <v>110925</v>
      </c>
      <c r="H587" t="s">
        <v>29</v>
      </c>
      <c r="I587">
        <v>100</v>
      </c>
      <c r="J587" t="s">
        <v>29</v>
      </c>
      <c r="K587" t="str">
        <f>VLOOKUP(J587,CountryName!$B:$C,2,TRUE)</f>
        <v>North America</v>
      </c>
      <c r="L587" t="s">
        <v>153</v>
      </c>
    </row>
    <row r="588" spans="1:12" x14ac:dyDescent="0.2">
      <c r="A588" s="1">
        <v>2022</v>
      </c>
      <c r="B588" t="str">
        <f>VLOOKUP(C588,References!$A$5:$B$8,2,TRUE)</f>
        <v>Mid level</v>
      </c>
      <c r="C588" t="s">
        <v>11</v>
      </c>
      <c r="D588" t="s">
        <v>147</v>
      </c>
      <c r="E588" t="str">
        <f>VLOOKUP(F588,References!$D$1:$F$50,3,TRUE)</f>
        <v>Data Analyst</v>
      </c>
      <c r="F588" t="s">
        <v>31</v>
      </c>
      <c r="G588">
        <v>45807</v>
      </c>
      <c r="H588" t="s">
        <v>24</v>
      </c>
      <c r="I588">
        <v>0</v>
      </c>
      <c r="J588" t="s">
        <v>24</v>
      </c>
      <c r="K588" t="str">
        <f>VLOOKUP(J588,CountryName!$B:$C,2,TRUE)</f>
        <v>Europe</v>
      </c>
      <c r="L588" t="s">
        <v>153</v>
      </c>
    </row>
    <row r="589" spans="1:12" x14ac:dyDescent="0.2">
      <c r="A589" s="1">
        <v>2022</v>
      </c>
      <c r="B589" t="str">
        <f>VLOOKUP(C589,References!$A$5:$B$8,2,TRUE)</f>
        <v>Senior Level</v>
      </c>
      <c r="C589" t="s">
        <v>17</v>
      </c>
      <c r="D589" t="s">
        <v>147</v>
      </c>
      <c r="E589" t="str">
        <f>VLOOKUP(F589,References!$D$1:$F$50,3,TRUE)</f>
        <v>Data Scientist</v>
      </c>
      <c r="F589" t="s">
        <v>13</v>
      </c>
      <c r="G589">
        <v>140000</v>
      </c>
      <c r="H589" t="s">
        <v>29</v>
      </c>
      <c r="I589">
        <v>100</v>
      </c>
      <c r="J589" t="s">
        <v>29</v>
      </c>
      <c r="K589" t="str">
        <f>VLOOKUP(J589,CountryName!$B:$C,2,TRUE)</f>
        <v>North America</v>
      </c>
      <c r="L589" t="s">
        <v>153</v>
      </c>
    </row>
    <row r="590" spans="1:12" x14ac:dyDescent="0.2">
      <c r="A590" s="1">
        <v>2022</v>
      </c>
      <c r="B590" t="str">
        <f>VLOOKUP(C590,References!$A$5:$B$8,2,TRUE)</f>
        <v>Senior Level</v>
      </c>
      <c r="C590" t="s">
        <v>17</v>
      </c>
      <c r="D590" t="s">
        <v>147</v>
      </c>
      <c r="E590" t="str">
        <f>VLOOKUP(F590,References!$D$1:$F$50,3,TRUE)</f>
        <v>Data Analyst</v>
      </c>
      <c r="F590" t="s">
        <v>31</v>
      </c>
      <c r="G590">
        <v>99000</v>
      </c>
      <c r="H590" t="s">
        <v>29</v>
      </c>
      <c r="I590">
        <v>0</v>
      </c>
      <c r="J590" t="s">
        <v>29</v>
      </c>
      <c r="K590" t="str">
        <f>VLOOKUP(J590,CountryName!$B:$C,2,TRUE)</f>
        <v>North America</v>
      </c>
      <c r="L590" t="s">
        <v>153</v>
      </c>
    </row>
    <row r="591" spans="1:12" x14ac:dyDescent="0.2">
      <c r="A591" s="1">
        <v>2022</v>
      </c>
      <c r="B591" t="str">
        <f>VLOOKUP(C591,References!$A$5:$B$8,2,TRUE)</f>
        <v>Senior Level</v>
      </c>
      <c r="C591" t="s">
        <v>17</v>
      </c>
      <c r="D591" t="s">
        <v>147</v>
      </c>
      <c r="E591" t="str">
        <f>VLOOKUP(F591,References!$D$1:$F$50,3,TRUE)</f>
        <v>Data Analyst</v>
      </c>
      <c r="F591" t="s">
        <v>31</v>
      </c>
      <c r="G591">
        <v>60000</v>
      </c>
      <c r="H591" t="s">
        <v>29</v>
      </c>
      <c r="I591">
        <v>100</v>
      </c>
      <c r="J591" t="s">
        <v>29</v>
      </c>
      <c r="K591" t="str">
        <f>VLOOKUP(J591,CountryName!$B:$C,2,TRUE)</f>
        <v>North America</v>
      </c>
      <c r="L591" t="s">
        <v>153</v>
      </c>
    </row>
    <row r="592" spans="1:12" x14ac:dyDescent="0.2">
      <c r="A592" s="1">
        <v>2022</v>
      </c>
      <c r="B592" t="str">
        <f>VLOOKUP(C592,References!$A$5:$B$8,2,TRUE)</f>
        <v>Senior Level</v>
      </c>
      <c r="C592" t="s">
        <v>17</v>
      </c>
      <c r="D592" t="s">
        <v>147</v>
      </c>
      <c r="E592" t="str">
        <f>VLOOKUP(F592,References!$D$1:$F$50,3,TRUE)</f>
        <v>Data Engineer</v>
      </c>
      <c r="F592" t="s">
        <v>109</v>
      </c>
      <c r="G592">
        <v>192564</v>
      </c>
      <c r="H592" t="s">
        <v>29</v>
      </c>
      <c r="I592">
        <v>100</v>
      </c>
      <c r="J592" t="s">
        <v>29</v>
      </c>
      <c r="K592" t="str">
        <f>VLOOKUP(J592,CountryName!$B:$C,2,TRUE)</f>
        <v>North America</v>
      </c>
      <c r="L592" t="s">
        <v>153</v>
      </c>
    </row>
    <row r="593" spans="1:12" x14ac:dyDescent="0.2">
      <c r="A593" s="1">
        <v>2022</v>
      </c>
      <c r="B593" t="str">
        <f>VLOOKUP(C593,References!$A$5:$B$8,2,TRUE)</f>
        <v>Senior Level</v>
      </c>
      <c r="C593" t="s">
        <v>17</v>
      </c>
      <c r="D593" t="s">
        <v>147</v>
      </c>
      <c r="E593" t="str">
        <f>VLOOKUP(F593,References!$D$1:$F$50,3,TRUE)</f>
        <v>Data Engineer</v>
      </c>
      <c r="F593" t="s">
        <v>109</v>
      </c>
      <c r="G593">
        <v>144854</v>
      </c>
      <c r="H593" t="s">
        <v>29</v>
      </c>
      <c r="I593">
        <v>100</v>
      </c>
      <c r="J593" t="s">
        <v>29</v>
      </c>
      <c r="K593" t="str">
        <f>VLOOKUP(J593,CountryName!$B:$C,2,TRUE)</f>
        <v>North America</v>
      </c>
      <c r="L593" t="s">
        <v>153</v>
      </c>
    </row>
    <row r="594" spans="1:12" x14ac:dyDescent="0.2">
      <c r="A594" s="1">
        <v>2022</v>
      </c>
      <c r="B594" t="str">
        <f>VLOOKUP(C594,References!$A$5:$B$8,2,TRUE)</f>
        <v>Senior Level</v>
      </c>
      <c r="C594" t="s">
        <v>17</v>
      </c>
      <c r="D594" t="s">
        <v>147</v>
      </c>
      <c r="E594" t="str">
        <f>VLOOKUP(F594,References!$D$1:$F$50,3,TRUE)</f>
        <v>Data Scientist</v>
      </c>
      <c r="F594" t="s">
        <v>13</v>
      </c>
      <c r="G594">
        <v>230000</v>
      </c>
      <c r="H594" t="s">
        <v>29</v>
      </c>
      <c r="I594">
        <v>100</v>
      </c>
      <c r="J594" t="s">
        <v>29</v>
      </c>
      <c r="K594" t="str">
        <f>VLOOKUP(J594,CountryName!$B:$C,2,TRUE)</f>
        <v>North America</v>
      </c>
      <c r="L594" t="s">
        <v>153</v>
      </c>
    </row>
    <row r="595" spans="1:12" x14ac:dyDescent="0.2">
      <c r="A595" s="1">
        <v>2022</v>
      </c>
      <c r="B595" t="str">
        <f>VLOOKUP(C595,References!$A$5:$B$8,2,TRUE)</f>
        <v>Senior Level</v>
      </c>
      <c r="C595" t="s">
        <v>17</v>
      </c>
      <c r="D595" t="s">
        <v>147</v>
      </c>
      <c r="E595" t="str">
        <f>VLOOKUP(F595,References!$D$1:$F$50,3,TRUE)</f>
        <v>Data Scientist</v>
      </c>
      <c r="F595" t="s">
        <v>13</v>
      </c>
      <c r="G595">
        <v>150000</v>
      </c>
      <c r="H595" t="s">
        <v>29</v>
      </c>
      <c r="I595">
        <v>100</v>
      </c>
      <c r="J595" t="s">
        <v>29</v>
      </c>
      <c r="K595" t="str">
        <f>VLOOKUP(J595,CountryName!$B:$C,2,TRUE)</f>
        <v>North America</v>
      </c>
      <c r="L595" t="s">
        <v>153</v>
      </c>
    </row>
    <row r="596" spans="1:12" x14ac:dyDescent="0.2">
      <c r="A596" s="1">
        <v>2022</v>
      </c>
      <c r="B596" t="str">
        <f>VLOOKUP(C596,References!$A$5:$B$8,2,TRUE)</f>
        <v>Senior Level</v>
      </c>
      <c r="C596" t="s">
        <v>17</v>
      </c>
      <c r="D596" t="s">
        <v>147</v>
      </c>
      <c r="E596" t="str">
        <f>VLOOKUP(F596,References!$D$1:$F$50,3,TRUE)</f>
        <v>Manager</v>
      </c>
      <c r="F596" t="s">
        <v>105</v>
      </c>
      <c r="G596">
        <v>150260</v>
      </c>
      <c r="H596" t="s">
        <v>29</v>
      </c>
      <c r="I596">
        <v>100</v>
      </c>
      <c r="J596" t="s">
        <v>29</v>
      </c>
      <c r="K596" t="str">
        <f>VLOOKUP(J596,CountryName!$B:$C,2,TRUE)</f>
        <v>North America</v>
      </c>
      <c r="L596" t="s">
        <v>153</v>
      </c>
    </row>
    <row r="597" spans="1:12" x14ac:dyDescent="0.2">
      <c r="A597" s="1">
        <v>2022</v>
      </c>
      <c r="B597" t="str">
        <f>VLOOKUP(C597,References!$A$5:$B$8,2,TRUE)</f>
        <v>Senior Level</v>
      </c>
      <c r="C597" t="s">
        <v>17</v>
      </c>
      <c r="D597" t="s">
        <v>147</v>
      </c>
      <c r="E597" t="str">
        <f>VLOOKUP(F597,References!$D$1:$F$50,3,TRUE)</f>
        <v>Manager</v>
      </c>
      <c r="F597" t="s">
        <v>105</v>
      </c>
      <c r="G597">
        <v>109280</v>
      </c>
      <c r="H597" t="s">
        <v>29</v>
      </c>
      <c r="I597">
        <v>100</v>
      </c>
      <c r="J597" t="s">
        <v>29</v>
      </c>
      <c r="K597" t="str">
        <f>VLOOKUP(J597,CountryName!$B:$C,2,TRUE)</f>
        <v>North America</v>
      </c>
      <c r="L597" t="s">
        <v>153</v>
      </c>
    </row>
    <row r="598" spans="1:12" x14ac:dyDescent="0.2">
      <c r="A598" s="1">
        <v>2022</v>
      </c>
      <c r="B598" t="str">
        <f>VLOOKUP(C598,References!$A$5:$B$8,2,TRUE)</f>
        <v>Senior Level</v>
      </c>
      <c r="C598" t="s">
        <v>17</v>
      </c>
      <c r="D598" t="s">
        <v>147</v>
      </c>
      <c r="E598" t="str">
        <f>VLOOKUP(F598,References!$D$1:$F$50,3,TRUE)</f>
        <v>Data Scientist</v>
      </c>
      <c r="F598" t="s">
        <v>13</v>
      </c>
      <c r="G598">
        <v>210000</v>
      </c>
      <c r="H598" t="s">
        <v>29</v>
      </c>
      <c r="I598">
        <v>100</v>
      </c>
      <c r="J598" t="s">
        <v>29</v>
      </c>
      <c r="K598" t="str">
        <f>VLOOKUP(J598,CountryName!$B:$C,2,TRUE)</f>
        <v>North America</v>
      </c>
      <c r="L598" t="s">
        <v>153</v>
      </c>
    </row>
    <row r="599" spans="1:12" x14ac:dyDescent="0.2">
      <c r="A599" s="1">
        <v>2022</v>
      </c>
      <c r="B599" t="str">
        <f>VLOOKUP(C599,References!$A$5:$B$8,2,TRUE)</f>
        <v>Senior Level</v>
      </c>
      <c r="C599" t="s">
        <v>17</v>
      </c>
      <c r="D599" t="s">
        <v>147</v>
      </c>
      <c r="E599" t="str">
        <f>VLOOKUP(F599,References!$D$1:$F$50,3,TRUE)</f>
        <v>Data Analyst</v>
      </c>
      <c r="F599" t="s">
        <v>31</v>
      </c>
      <c r="G599">
        <v>170000</v>
      </c>
      <c r="H599" t="s">
        <v>29</v>
      </c>
      <c r="I599">
        <v>100</v>
      </c>
      <c r="J599" t="s">
        <v>29</v>
      </c>
      <c r="K599" t="str">
        <f>VLOOKUP(J599,CountryName!$B:$C,2,TRUE)</f>
        <v>North America</v>
      </c>
      <c r="L599" t="s">
        <v>153</v>
      </c>
    </row>
    <row r="600" spans="1:12" x14ac:dyDescent="0.2">
      <c r="A600" s="1">
        <v>2022</v>
      </c>
      <c r="B600" t="str">
        <f>VLOOKUP(C600,References!$A$5:$B$8,2,TRUE)</f>
        <v>Mid level</v>
      </c>
      <c r="C600" t="s">
        <v>11</v>
      </c>
      <c r="D600" t="s">
        <v>147</v>
      </c>
      <c r="E600" t="str">
        <f>VLOOKUP(F600,References!$D$1:$F$50,3,TRUE)</f>
        <v>Data Scientist</v>
      </c>
      <c r="F600" t="s">
        <v>13</v>
      </c>
      <c r="G600">
        <v>160000</v>
      </c>
      <c r="H600" t="s">
        <v>29</v>
      </c>
      <c r="I600">
        <v>100</v>
      </c>
      <c r="J600" t="s">
        <v>29</v>
      </c>
      <c r="K600" t="str">
        <f>VLOOKUP(J600,CountryName!$B:$C,2,TRUE)</f>
        <v>North America</v>
      </c>
      <c r="L600" t="s">
        <v>153</v>
      </c>
    </row>
    <row r="601" spans="1:12" x14ac:dyDescent="0.2">
      <c r="A601" s="1">
        <v>2022</v>
      </c>
      <c r="B601" t="str">
        <f>VLOOKUP(C601,References!$A$5:$B$8,2,TRUE)</f>
        <v>Mid level</v>
      </c>
      <c r="C601" t="s">
        <v>11</v>
      </c>
      <c r="D601" t="s">
        <v>147</v>
      </c>
      <c r="E601" t="str">
        <f>VLOOKUP(F601,References!$D$1:$F$50,3,TRUE)</f>
        <v>Data Scientist</v>
      </c>
      <c r="F601" t="s">
        <v>13</v>
      </c>
      <c r="G601">
        <v>130000</v>
      </c>
      <c r="H601" t="s">
        <v>29</v>
      </c>
      <c r="I601">
        <v>100</v>
      </c>
      <c r="J601" t="s">
        <v>29</v>
      </c>
      <c r="K601" t="str">
        <f>VLOOKUP(J601,CountryName!$B:$C,2,TRUE)</f>
        <v>North America</v>
      </c>
      <c r="L601" t="s">
        <v>153</v>
      </c>
    </row>
    <row r="602" spans="1:12" x14ac:dyDescent="0.2">
      <c r="A602" s="1">
        <v>2022</v>
      </c>
      <c r="B602" t="str">
        <f>VLOOKUP(C602,References!$A$5:$B$8,2,TRUE)</f>
        <v>Entry Level</v>
      </c>
      <c r="C602" t="s">
        <v>30</v>
      </c>
      <c r="D602" t="s">
        <v>147</v>
      </c>
      <c r="E602" t="str">
        <f>VLOOKUP(F602,References!$D$1:$F$50,3,TRUE)</f>
        <v>Data Analyst</v>
      </c>
      <c r="F602" t="s">
        <v>31</v>
      </c>
      <c r="G602">
        <v>67000</v>
      </c>
      <c r="H602" t="s">
        <v>62</v>
      </c>
      <c r="I602">
        <v>0</v>
      </c>
      <c r="J602" t="s">
        <v>62</v>
      </c>
      <c r="K602" t="str">
        <f>VLOOKUP(J602,CountryName!$B:$C,2,TRUE)</f>
        <v>North America</v>
      </c>
      <c r="L602" t="s">
        <v>153</v>
      </c>
    </row>
    <row r="603" spans="1:12" x14ac:dyDescent="0.2">
      <c r="A603" s="1">
        <v>2022</v>
      </c>
      <c r="B603" t="str">
        <f>VLOOKUP(C603,References!$A$5:$B$8,2,TRUE)</f>
        <v>Entry Level</v>
      </c>
      <c r="C603" t="s">
        <v>30</v>
      </c>
      <c r="D603" t="s">
        <v>147</v>
      </c>
      <c r="E603" t="str">
        <f>VLOOKUP(F603,References!$D$1:$F$50,3,TRUE)</f>
        <v>Data Analyst</v>
      </c>
      <c r="F603" t="s">
        <v>31</v>
      </c>
      <c r="G603">
        <v>52000</v>
      </c>
      <c r="H603" t="s">
        <v>62</v>
      </c>
      <c r="I603">
        <v>0</v>
      </c>
      <c r="J603" t="s">
        <v>62</v>
      </c>
      <c r="K603" t="str">
        <f>VLOOKUP(J603,CountryName!$B:$C,2,TRUE)</f>
        <v>North America</v>
      </c>
      <c r="L603" t="s">
        <v>153</v>
      </c>
    </row>
    <row r="604" spans="1:12" x14ac:dyDescent="0.2">
      <c r="A604" s="1">
        <v>2022</v>
      </c>
      <c r="B604" t="str">
        <f>VLOOKUP(C604,References!$A$5:$B$8,2,TRUE)</f>
        <v>Senior Level</v>
      </c>
      <c r="C604" t="s">
        <v>17</v>
      </c>
      <c r="D604" t="s">
        <v>147</v>
      </c>
      <c r="E604" t="str">
        <f>VLOOKUP(F604,References!$D$1:$F$50,3,TRUE)</f>
        <v>Data Engineer</v>
      </c>
      <c r="F604" t="s">
        <v>43</v>
      </c>
      <c r="G604">
        <v>154000</v>
      </c>
      <c r="H604" t="s">
        <v>29</v>
      </c>
      <c r="I604">
        <v>100</v>
      </c>
      <c r="J604" t="s">
        <v>29</v>
      </c>
      <c r="K604" t="str">
        <f>VLOOKUP(J604,CountryName!$B:$C,2,TRUE)</f>
        <v>North America</v>
      </c>
      <c r="L604" t="s">
        <v>153</v>
      </c>
    </row>
    <row r="605" spans="1:12" x14ac:dyDescent="0.2">
      <c r="A605" s="1">
        <v>2022</v>
      </c>
      <c r="B605" t="str">
        <f>VLOOKUP(C605,References!$A$5:$B$8,2,TRUE)</f>
        <v>Senior Level</v>
      </c>
      <c r="C605" t="s">
        <v>17</v>
      </c>
      <c r="D605" t="s">
        <v>147</v>
      </c>
      <c r="E605" t="str">
        <f>VLOOKUP(F605,References!$D$1:$F$50,3,TRUE)</f>
        <v>Data Engineer</v>
      </c>
      <c r="F605" t="s">
        <v>43</v>
      </c>
      <c r="G605">
        <v>126000</v>
      </c>
      <c r="H605" t="s">
        <v>29</v>
      </c>
      <c r="I605">
        <v>100</v>
      </c>
      <c r="J605" t="s">
        <v>29</v>
      </c>
      <c r="K605" t="str">
        <f>VLOOKUP(J605,CountryName!$B:$C,2,TRUE)</f>
        <v>North America</v>
      </c>
      <c r="L605" t="s">
        <v>153</v>
      </c>
    </row>
    <row r="606" spans="1:12" x14ac:dyDescent="0.2">
      <c r="A606" s="1">
        <v>2022</v>
      </c>
      <c r="B606" t="str">
        <f>VLOOKUP(C606,References!$A$5:$B$8,2,TRUE)</f>
        <v>Senior Level</v>
      </c>
      <c r="C606" t="s">
        <v>17</v>
      </c>
      <c r="D606" t="s">
        <v>147</v>
      </c>
      <c r="E606" t="str">
        <f>VLOOKUP(F606,References!$D$1:$F$50,3,TRUE)</f>
        <v>Data Analyst</v>
      </c>
      <c r="F606" t="s">
        <v>31</v>
      </c>
      <c r="G606">
        <v>129000</v>
      </c>
      <c r="H606" t="s">
        <v>29</v>
      </c>
      <c r="I606">
        <v>0</v>
      </c>
      <c r="J606" t="s">
        <v>29</v>
      </c>
      <c r="K606" t="str">
        <f>VLOOKUP(J606,CountryName!$B:$C,2,TRUE)</f>
        <v>North America</v>
      </c>
      <c r="L606" t="s">
        <v>153</v>
      </c>
    </row>
    <row r="607" spans="1:12" x14ac:dyDescent="0.2">
      <c r="A607" s="1">
        <v>2022</v>
      </c>
      <c r="B607" t="str">
        <f>VLOOKUP(C607,References!$A$5:$B$8,2,TRUE)</f>
        <v>Senior Level</v>
      </c>
      <c r="C607" t="s">
        <v>17</v>
      </c>
      <c r="D607" t="s">
        <v>147</v>
      </c>
      <c r="E607" t="str">
        <f>VLOOKUP(F607,References!$D$1:$F$50,3,TRUE)</f>
        <v>Data Analyst</v>
      </c>
      <c r="F607" t="s">
        <v>31</v>
      </c>
      <c r="G607">
        <v>150000</v>
      </c>
      <c r="H607" t="s">
        <v>29</v>
      </c>
      <c r="I607">
        <v>100</v>
      </c>
      <c r="J607" t="s">
        <v>29</v>
      </c>
      <c r="K607" t="str">
        <f>VLOOKUP(J607,CountryName!$B:$C,2,TRUE)</f>
        <v>North America</v>
      </c>
      <c r="L607" t="s">
        <v>153</v>
      </c>
    </row>
    <row r="608" spans="1:12" x14ac:dyDescent="0.2">
      <c r="A608" s="1">
        <v>2022</v>
      </c>
      <c r="B608" t="str">
        <f>VLOOKUP(C608,References!$A$5:$B$8,2,TRUE)</f>
        <v>Mid level</v>
      </c>
      <c r="C608" t="s">
        <v>11</v>
      </c>
      <c r="D608" t="s">
        <v>147</v>
      </c>
      <c r="E608" t="str">
        <f>VLOOKUP(F608,References!$D$1:$F$50,3,TRUE)</f>
        <v>Data Scientist</v>
      </c>
      <c r="F608" t="s">
        <v>70</v>
      </c>
      <c r="G608">
        <v>200000</v>
      </c>
      <c r="H608" t="s">
        <v>40</v>
      </c>
      <c r="I608">
        <v>100</v>
      </c>
      <c r="J608" t="s">
        <v>29</v>
      </c>
      <c r="K608" t="str">
        <f>VLOOKUP(J608,CountryName!$B:$C,2,TRUE)</f>
        <v>North America</v>
      </c>
      <c r="L608" t="s">
        <v>151</v>
      </c>
    </row>
  </sheetData>
  <autoFilter ref="A1:L608" xr:uid="{00D0779A-B2A0-4287-B3B1-4DFCD499BFDB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056D3-56DE-4EA8-8E32-AB8F9CA46477}">
  <dimension ref="A1:O70"/>
  <sheetViews>
    <sheetView topLeftCell="A34" workbookViewId="0">
      <selection activeCell="A57" sqref="A57"/>
    </sheetView>
  </sheetViews>
  <sheetFormatPr defaultRowHeight="14.25" x14ac:dyDescent="0.2"/>
  <cols>
    <col min="1" max="1" width="9.25" customWidth="1"/>
    <col min="2" max="2" width="14.25" customWidth="1"/>
    <col min="3" max="3" width="11.875" customWidth="1"/>
    <col min="4" max="4" width="13.375" customWidth="1"/>
    <col min="5" max="5" width="13" customWidth="1"/>
    <col min="6" max="6" width="16.75" customWidth="1"/>
    <col min="7" max="7" width="8.75" customWidth="1"/>
    <col min="8" max="8" width="8.5" customWidth="1"/>
    <col min="9" max="9" width="11.25" customWidth="1"/>
    <col min="14" max="14" width="18.375" customWidth="1"/>
    <col min="15" max="15" width="14" customWidth="1"/>
  </cols>
  <sheetData>
    <row r="1" spans="1:15" x14ac:dyDescent="0.2">
      <c r="A1" s="2" t="s">
        <v>881</v>
      </c>
      <c r="B1" t="s">
        <v>31</v>
      </c>
    </row>
    <row r="2" spans="1:15" x14ac:dyDescent="0.2">
      <c r="N2" s="2" t="s">
        <v>213</v>
      </c>
      <c r="O2" t="s">
        <v>882</v>
      </c>
    </row>
    <row r="3" spans="1:15" x14ac:dyDescent="0.2">
      <c r="A3" s="2" t="s">
        <v>219</v>
      </c>
      <c r="B3" t="s">
        <v>882</v>
      </c>
      <c r="N3" s="6" t="s">
        <v>214</v>
      </c>
      <c r="O3" s="4">
        <v>61643.318181818184</v>
      </c>
    </row>
    <row r="4" spans="1:15" x14ac:dyDescent="0.2">
      <c r="A4" s="6">
        <v>2020</v>
      </c>
      <c r="B4" s="4">
        <v>56186.428571428572</v>
      </c>
      <c r="N4" s="6" t="s">
        <v>217</v>
      </c>
      <c r="O4" s="4">
        <v>199392.03846153847</v>
      </c>
    </row>
    <row r="5" spans="1:15" x14ac:dyDescent="0.2">
      <c r="A5" s="6">
        <v>2021</v>
      </c>
      <c r="B5" s="4">
        <v>92033.611111111109</v>
      </c>
      <c r="N5" s="6" t="s">
        <v>216</v>
      </c>
      <c r="O5" s="4">
        <v>87996.056338028167</v>
      </c>
    </row>
    <row r="6" spans="1:15" x14ac:dyDescent="0.2">
      <c r="A6" s="6">
        <v>2022</v>
      </c>
      <c r="B6" s="4">
        <v>97750.743589743593</v>
      </c>
      <c r="N6" s="6" t="s">
        <v>215</v>
      </c>
      <c r="O6" s="4">
        <v>138617.29285714286</v>
      </c>
    </row>
    <row r="18" spans="1:4" x14ac:dyDescent="0.2">
      <c r="A18" s="2" t="s">
        <v>883</v>
      </c>
      <c r="B18" s="2" t="s">
        <v>220</v>
      </c>
    </row>
    <row r="19" spans="1:4" x14ac:dyDescent="0.2">
      <c r="A19" s="2" t="s">
        <v>219</v>
      </c>
      <c r="B19" t="s">
        <v>151</v>
      </c>
      <c r="C19" t="s">
        <v>153</v>
      </c>
      <c r="D19" t="s">
        <v>152</v>
      </c>
    </row>
    <row r="20" spans="1:4" x14ac:dyDescent="0.2">
      <c r="A20" s="3">
        <v>2020</v>
      </c>
      <c r="B20" s="5">
        <v>71.212121212121218</v>
      </c>
      <c r="C20" s="5">
        <v>57.142857142857146</v>
      </c>
      <c r="D20" s="5">
        <v>60</v>
      </c>
    </row>
    <row r="21" spans="1:4" x14ac:dyDescent="0.2">
      <c r="A21" s="3">
        <v>2021</v>
      </c>
      <c r="B21" s="5">
        <v>68.067226890756302</v>
      </c>
      <c r="C21" s="5">
        <v>69.811320754716988</v>
      </c>
      <c r="D21" s="5">
        <v>71.111111111111114</v>
      </c>
    </row>
    <row r="22" spans="1:4" x14ac:dyDescent="0.2">
      <c r="A22" s="3">
        <v>2022</v>
      </c>
      <c r="B22" s="5">
        <v>68.478260869565219</v>
      </c>
      <c r="C22" s="5">
        <v>73.938223938223942</v>
      </c>
      <c r="D22" s="5">
        <v>84.615384615384613</v>
      </c>
    </row>
    <row r="37" spans="1:8" x14ac:dyDescent="0.2">
      <c r="A37" s="2" t="s">
        <v>884</v>
      </c>
      <c r="B37" s="2" t="s">
        <v>220</v>
      </c>
    </row>
    <row r="38" spans="1:8" x14ac:dyDescent="0.2">
      <c r="A38" s="2" t="s">
        <v>219</v>
      </c>
      <c r="B38" t="s">
        <v>878</v>
      </c>
      <c r="C38" t="s">
        <v>31</v>
      </c>
      <c r="D38" t="s">
        <v>43</v>
      </c>
      <c r="E38" t="s">
        <v>13</v>
      </c>
      <c r="F38" t="s">
        <v>880</v>
      </c>
      <c r="G38" t="s">
        <v>877</v>
      </c>
      <c r="H38" t="s">
        <v>879</v>
      </c>
    </row>
    <row r="39" spans="1:8" x14ac:dyDescent="0.2">
      <c r="A39" s="3">
        <v>2020</v>
      </c>
      <c r="B39" s="7"/>
      <c r="C39" s="7">
        <v>14</v>
      </c>
      <c r="D39" s="7">
        <v>15</v>
      </c>
      <c r="E39" s="7">
        <v>22</v>
      </c>
      <c r="F39" s="7">
        <v>7</v>
      </c>
      <c r="G39" s="7">
        <v>10</v>
      </c>
      <c r="H39" s="7">
        <v>4</v>
      </c>
    </row>
    <row r="40" spans="1:8" x14ac:dyDescent="0.2">
      <c r="A40" s="3">
        <v>2021</v>
      </c>
      <c r="B40" s="7">
        <v>3</v>
      </c>
      <c r="C40" s="7">
        <v>36</v>
      </c>
      <c r="D40" s="7">
        <v>51</v>
      </c>
      <c r="E40" s="7">
        <v>53</v>
      </c>
      <c r="F40" s="7">
        <v>24</v>
      </c>
      <c r="G40" s="7">
        <v>30</v>
      </c>
      <c r="H40" s="7">
        <v>20</v>
      </c>
    </row>
    <row r="41" spans="1:8" x14ac:dyDescent="0.2">
      <c r="A41" s="3">
        <v>2022</v>
      </c>
      <c r="B41" s="7">
        <v>1</v>
      </c>
      <c r="C41" s="7">
        <v>78</v>
      </c>
      <c r="D41" s="7">
        <v>106</v>
      </c>
      <c r="E41" s="7">
        <v>84</v>
      </c>
      <c r="F41" s="7">
        <v>23</v>
      </c>
      <c r="G41" s="7">
        <v>18</v>
      </c>
      <c r="H41" s="7">
        <v>8</v>
      </c>
    </row>
    <row r="55" spans="1:9" x14ac:dyDescent="0.2">
      <c r="A55" s="2" t="s">
        <v>885</v>
      </c>
      <c r="B55" s="2" t="s">
        <v>220</v>
      </c>
    </row>
    <row r="56" spans="1:9" x14ac:dyDescent="0.2">
      <c r="A56" s="2" t="s">
        <v>875</v>
      </c>
      <c r="B56" t="s">
        <v>878</v>
      </c>
      <c r="C56" t="s">
        <v>31</v>
      </c>
      <c r="D56" t="s">
        <v>43</v>
      </c>
      <c r="E56" t="s">
        <v>13</v>
      </c>
      <c r="F56" t="s">
        <v>880</v>
      </c>
      <c r="G56" t="s">
        <v>877</v>
      </c>
      <c r="H56" t="s">
        <v>879</v>
      </c>
      <c r="I56" t="s">
        <v>876</v>
      </c>
    </row>
    <row r="57" spans="1:9" x14ac:dyDescent="0.2">
      <c r="A57" s="6" t="s">
        <v>240</v>
      </c>
      <c r="B57" s="7"/>
      <c r="C57" s="7">
        <v>2</v>
      </c>
      <c r="D57" s="7"/>
      <c r="E57" s="7">
        <v>2</v>
      </c>
      <c r="F57" s="7"/>
      <c r="G57" s="7"/>
      <c r="H57" s="7"/>
      <c r="I57" s="7">
        <v>4</v>
      </c>
    </row>
    <row r="58" spans="1:9" x14ac:dyDescent="0.2">
      <c r="A58" s="6" t="s">
        <v>227</v>
      </c>
      <c r="B58" s="7">
        <v>1</v>
      </c>
      <c r="C58" s="7">
        <v>6</v>
      </c>
      <c r="D58" s="7">
        <v>7</v>
      </c>
      <c r="E58" s="7">
        <v>11</v>
      </c>
      <c r="F58" s="7">
        <v>10</v>
      </c>
      <c r="G58" s="7">
        <v>6</v>
      </c>
      <c r="H58" s="7">
        <v>3</v>
      </c>
      <c r="I58" s="7">
        <v>44</v>
      </c>
    </row>
    <row r="59" spans="1:9" x14ac:dyDescent="0.2">
      <c r="A59" s="6" t="s">
        <v>231</v>
      </c>
      <c r="B59" s="7"/>
      <c r="C59" s="7">
        <v>23</v>
      </c>
      <c r="D59" s="7">
        <v>52</v>
      </c>
      <c r="E59" s="7">
        <v>41</v>
      </c>
      <c r="F59" s="7">
        <v>20</v>
      </c>
      <c r="G59" s="7">
        <v>13</v>
      </c>
      <c r="H59" s="7">
        <v>11</v>
      </c>
      <c r="I59" s="7">
        <v>160</v>
      </c>
    </row>
    <row r="60" spans="1:9" x14ac:dyDescent="0.2">
      <c r="A60" s="6" t="s">
        <v>252</v>
      </c>
      <c r="B60" s="7">
        <v>2</v>
      </c>
      <c r="C60" s="7">
        <v>97</v>
      </c>
      <c r="D60" s="7">
        <v>111</v>
      </c>
      <c r="E60" s="7">
        <v>101</v>
      </c>
      <c r="F60" s="7">
        <v>22</v>
      </c>
      <c r="G60" s="7">
        <v>38</v>
      </c>
      <c r="H60" s="7">
        <v>18</v>
      </c>
      <c r="I60" s="7">
        <v>389</v>
      </c>
    </row>
    <row r="61" spans="1:9" x14ac:dyDescent="0.2">
      <c r="A61" s="6" t="s">
        <v>243</v>
      </c>
      <c r="B61" s="7">
        <v>1</v>
      </c>
      <c r="C61" s="7"/>
      <c r="D61" s="7"/>
      <c r="E61" s="7">
        <v>2</v>
      </c>
      <c r="F61" s="7">
        <v>1</v>
      </c>
      <c r="G61" s="7">
        <v>1</v>
      </c>
      <c r="H61" s="7"/>
      <c r="I61" s="7">
        <v>5</v>
      </c>
    </row>
    <row r="62" spans="1:9" x14ac:dyDescent="0.2">
      <c r="A62" s="6" t="s">
        <v>260</v>
      </c>
      <c r="B62" s="7"/>
      <c r="C62" s="7"/>
      <c r="D62" s="7">
        <v>2</v>
      </c>
      <c r="E62" s="7">
        <v>2</v>
      </c>
      <c r="F62" s="7">
        <v>1</v>
      </c>
      <c r="G62" s="7"/>
      <c r="H62" s="7"/>
      <c r="I62" s="7">
        <v>5</v>
      </c>
    </row>
    <row r="63" spans="1:9" x14ac:dyDescent="0.2">
      <c r="A63" s="6" t="s">
        <v>876</v>
      </c>
      <c r="B63" s="7">
        <v>4</v>
      </c>
      <c r="C63" s="7">
        <v>128</v>
      </c>
      <c r="D63" s="7">
        <v>172</v>
      </c>
      <c r="E63" s="7">
        <v>159</v>
      </c>
      <c r="F63" s="7">
        <v>54</v>
      </c>
      <c r="G63" s="7">
        <v>58</v>
      </c>
      <c r="H63" s="7">
        <v>32</v>
      </c>
      <c r="I63" s="7">
        <v>607</v>
      </c>
    </row>
    <row r="65" spans="1:9" x14ac:dyDescent="0.2">
      <c r="A65" s="6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6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6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6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6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6"/>
      <c r="B70" s="7"/>
      <c r="C70" s="7"/>
      <c r="D70" s="7"/>
      <c r="E70" s="7"/>
      <c r="F70" s="7"/>
      <c r="G70" s="7"/>
      <c r="H70" s="7"/>
      <c r="I70" s="7"/>
    </row>
  </sheetData>
  <pageMargins left="0.7" right="0.7" top="0.75" bottom="0.75" header="0.3" footer="0.3"/>
  <pageSetup orientation="portrait" horizontalDpi="1200" verticalDpi="1200" r:id="rId6"/>
  <drawing r:id="rId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254D4-A671-4123-9BB2-34F93BB42F0C}">
  <dimension ref="H2:M2"/>
  <sheetViews>
    <sheetView showGridLines="0" showRowColHeaders="0" tabSelected="1" workbookViewId="0">
      <selection activeCell="H2" sqref="H2:M2"/>
    </sheetView>
  </sheetViews>
  <sheetFormatPr defaultRowHeight="14.25" x14ac:dyDescent="0.2"/>
  <sheetData>
    <row r="2" spans="8:13" ht="27.75" x14ac:dyDescent="0.4">
      <c r="H2" s="8" t="s">
        <v>886</v>
      </c>
      <c r="I2" s="8"/>
      <c r="J2" s="8"/>
      <c r="K2" s="8"/>
      <c r="L2" s="8"/>
      <c r="M2" s="8"/>
    </row>
  </sheetData>
  <mergeCells count="1">
    <mergeCell ref="H2:M2"/>
  </mergeCells>
  <pageMargins left="0.7" right="0.7" top="0.75" bottom="0.75" header="0.3" footer="0.3"/>
  <pageSetup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4CE7E0-8346-4487-A7C5-763220C5ED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ds_salaries</vt:lpstr>
      <vt:lpstr>References</vt:lpstr>
      <vt:lpstr>CountryName</vt:lpstr>
      <vt:lpstr>WorkingSheet</vt:lpstr>
      <vt:lpstr>PivotTables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prachi jansari</cp:lastModifiedBy>
  <dcterms:created xsi:type="dcterms:W3CDTF">2022-08-29T17:33:18Z</dcterms:created>
  <dcterms:modified xsi:type="dcterms:W3CDTF">2022-08-29T23:55:36Z</dcterms:modified>
</cp:coreProperties>
</file>